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ring Model" sheetId="1" state="visible" r:id="rId3"/>
    <sheet name="Bands" sheetId="2" state="visible" r:id="rId4"/>
    <sheet name="Section Weights" sheetId="3" state="visible" r:id="rId5"/>
    <sheet name="Worked Examples" sheetId="4" state="visible" r:id="rId6"/>
    <sheet name="Change Log" sheetId="5" state="visible" r:id="rId7"/>
    <sheet name="Notes and Assumption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<sst xmlns="http://schemas.openxmlformats.org/spreadsheetml/2006/main" count="381" uniqueCount="221">
  <si>
    <t xml:space="preserve">Fit and proper risk scoring model — 15 question subset</t>
  </si>
  <si>
    <t xml:space="preserve">Risk score: lower is better. Yellow cells are inputs; grey cells are calculated. Generated from the applicant JSON, so weights, polarity, knockout flags and question text match the engine input. Pre-filled with APP001's answers.</t>
  </si>
  <si>
    <t xml:space="preserve">Section</t>
  </si>
  <si>
    <t xml:space="preserve">Section weight</t>
  </si>
  <si>
    <t xml:space="preserve">QID</t>
  </si>
  <si>
    <t xml:space="preserve">Question</t>
  </si>
  <si>
    <t xml:space="preserve">Polarity</t>
  </si>
  <si>
    <t xml:space="preserve">Question weight</t>
  </si>
  <si>
    <t xml:space="preserve">Answer (Yes/No/N/A)</t>
  </si>
  <si>
    <t xml:space="preserve">Risk flag</t>
  </si>
  <si>
    <t xml:space="preserve">Applicable weight</t>
  </si>
  <si>
    <t xml:space="preserve">Weighted risk</t>
  </si>
  <si>
    <t xml:space="preserve">Knockout</t>
  </si>
  <si>
    <t xml:space="preserve">Basis for the weight</t>
  </si>
  <si>
    <t xml:space="preserve">Basic Details</t>
  </si>
  <si>
    <t xml:space="preserve">A1</t>
  </si>
  <si>
    <t xml:space="preserve">Is the applicant between 45–60 years of age?</t>
  </si>
  <si>
    <t xml:space="preserve">Positive</t>
  </si>
  <si>
    <t xml:space="preserve">Yes</t>
  </si>
  <si>
    <t xml:space="preserve">Age band is a weak signal on its own; carries the least weight of any criterion.</t>
  </si>
  <si>
    <t xml:space="preserve">A4</t>
  </si>
  <si>
    <t xml:space="preserve">Is the applicant a naturalized citizen?</t>
  </si>
  <si>
    <t xml:space="preserve">Negative</t>
  </si>
  <si>
    <t xml:space="preserve">No</t>
  </si>
  <si>
    <t xml:space="preserve">Revised to Negative: a Yes (naturalised) contributes the full weight. Lowest weight in the model; the route to citizenship is administrative rather than a conduct finding.</t>
  </si>
  <si>
    <t xml:space="preserve">Qualifications &amp; Experience</t>
  </si>
  <si>
    <t xml:space="preserve">Q1</t>
  </si>
  <si>
    <t xml:space="preserve">Does the applicant hold a relevant academic qualification?</t>
  </si>
  <si>
    <t xml:space="preserve">A qualification is a threshold requirement but a weak predictor once experience is known.</t>
  </si>
  <si>
    <t xml:space="preserve">Q3</t>
  </si>
  <si>
    <t xml:space="preserve">Does the applicant have ≥10 years relevant experience?</t>
  </si>
  <si>
    <t xml:space="preserve">Depth of relevant experience is the strongest competence signal available; weighted twice the qualification.</t>
  </si>
  <si>
    <t xml:space="preserve">Professional Conduct /Reputation/Integrity</t>
  </si>
  <si>
    <t xml:space="preserve">PC1</t>
  </si>
  <si>
    <t xml:space="preserve">Have you at any time been charged with or convicted of any offence or otherwise found liable by a Civil, Criminal or Military Court (excluding minor road traffic offences), in any jurisdiction?</t>
  </si>
  <si>
    <t xml:space="preserve">Conviction or civil liability goes to integrity. Heaviest single weight and a knock-out: a Yes refers the case regardless of total score.</t>
  </si>
  <si>
    <t xml:space="preserve">PC19</t>
  </si>
  <si>
    <t xml:space="preserve">Was there a time when you were not in compliance with any tax or other statutory requirements imposed on you?  (Section 3(1)(iii) of the Act)</t>
  </si>
  <si>
    <t xml:space="preserve">Tax or statutory non-compliance is material but often historic and remediable; weighted well below a conviction.</t>
  </si>
  <si>
    <t xml:space="preserve">Financial Soundness</t>
  </si>
  <si>
    <t xml:space="preserve">FC5</t>
  </si>
  <si>
    <t xml:space="preserve">Has any loan or credit facility (or part thereof) extended to you by any financial institution, been restructured, renegotiated, provided against or been the subject of a write-off or debt forgiveness for reasons of non-payment by you?</t>
  </si>
  <si>
    <t xml:space="preserve">A restructured or written-off facility evidences realised default, not just exposure. Heavier than gross indebtedness.</t>
  </si>
  <si>
    <t xml:space="preserve">FC7</t>
  </si>
  <si>
    <t xml:space="preserve">Do you (in your personal capacity), or through any legal person or arrangement controlled by you and/or any immediate relative have outstanding any loans or other forms of indebtedness (including guarantees) in excess of N$2.5mn?</t>
  </si>
  <si>
    <t xml:space="preserve">Indebtedness above the threshold is a scale measure; serviced debt is not itself misconduct.</t>
  </si>
  <si>
    <t xml:space="preserve">Conflict of interest. (Entity/Enterprise based)</t>
  </si>
  <si>
    <t xml:space="preserve">CoI2</t>
  </si>
  <si>
    <t xml:space="preserve">Have you ever been or are you currently a Director of any limited liability companies, societies, or other business enterprises engaged in financial services, as defined in the BSA?</t>
  </si>
  <si>
    <t xml:space="preserve">A directorship elsewhere in financial services is disclosable and common; low weight unless it becomes a control position.</t>
  </si>
  <si>
    <t xml:space="preserve">CoI6</t>
  </si>
  <si>
    <t xml:space="preserve">Are you a beneficial owner of a controlling interest (20% or more of the voting shares, or the ability to appoint or remove a majority of the board) in any financial institution, partnerships, societies, or trust corporations or other body, organization or entity whether for business, benevolent or other purposes?</t>
  </si>
  <si>
    <t xml:space="preserve">Beneficial ownership of a controlling interest creates a durable conflict the licensee cannot manage away; weighted above a plain directorship.</t>
  </si>
  <si>
    <t xml:space="preserve">Time Commitment</t>
  </si>
  <si>
    <t xml:space="preserve">T1</t>
  </si>
  <si>
    <t xml:space="preserve">Will you be actively engaged in the business of the Licensee to which this application relates and devote the major portion of your time thereto?</t>
  </si>
  <si>
    <t xml:space="preserve">Insufficient time commitment is a live governance risk for an executive appointment. For a non-executive the expected answer is No, which this polarity charges — treatment open, see Notes and Worked Examples.</t>
  </si>
  <si>
    <t xml:space="preserve">T2</t>
  </si>
  <si>
    <t xml:space="preserve">If you are completing this form in the capacity of director or proposed director, please indicate whether you have or will have any executive responsibility for the management of the institution’s business</t>
  </si>
  <si>
    <t xml:space="preserve">N/A</t>
  </si>
  <si>
    <t xml:space="preserve">Set to N/A for a non-executive appointment, where an answer of No is expected and carries no risk.</t>
  </si>
  <si>
    <t xml:space="preserve">Conflict of interest. (Licensee based)</t>
  </si>
  <si>
    <t xml:space="preserve">CoL1</t>
  </si>
  <si>
    <t xml:space="preserve">Are any shares of the Licensee registered in your name?</t>
  </si>
  <si>
    <t xml:space="preserve">Direct shareholding in the licensee is disclosable and quantifiable; risk rises with size, which the score cannot see.</t>
  </si>
  <si>
    <t xml:space="preserve">CoL3</t>
  </si>
  <si>
    <t xml:space="preserve">Are any shares of the Licensee registered in the name of an immediate relative?</t>
  </si>
  <si>
    <t xml:space="preserve">A relative's holding is one step removed; lower weight than a personal holding.</t>
  </si>
  <si>
    <t xml:space="preserve">Collective Suitability</t>
  </si>
  <si>
    <t xml:space="preserve">CS4</t>
  </si>
  <si>
    <t xml:space="preserve">Have you acquainted yourself with and do you understand the extent of the rights and powers, as well as your responsibilities and duties, as a director, officer or key employee or a proposed director, officer or key employee of the institution for which this questionnaire is being completed, as contained in the applicable law, regulations, and guidelines?</t>
  </si>
  <si>
    <t xml:space="preserve">An attestation of understanding of duties. Failing it is serious, but it is self-declared and easily remedied.</t>
  </si>
  <si>
    <t xml:space="preserve">Total</t>
  </si>
  <si>
    <t xml:space="preserve">Assessment outcome</t>
  </si>
  <si>
    <t xml:space="preserve">Total applicable weight</t>
  </si>
  <si>
    <t xml:space="preserve">Sum of weights for questions that apply (N/A excluded)</t>
  </si>
  <si>
    <t xml:space="preserve">Total weighted risk</t>
  </si>
  <si>
    <t xml:space="preserve">Sum of weight × risk flag</t>
  </si>
  <si>
    <t xml:space="preserve">Normalised risk score (0–1)</t>
  </si>
  <si>
    <t xml:space="preserve">Weighted risk divided by applicable weight</t>
  </si>
  <si>
    <t xml:space="preserve">Risk score (0–100)</t>
  </si>
  <si>
    <t xml:space="preserve">The same figure on a 100 point scale</t>
  </si>
  <si>
    <t xml:space="preserve">Risk band</t>
  </si>
  <si>
    <t xml:space="preserve">From the Bands sheet</t>
  </si>
  <si>
    <t xml:space="preserve">Knockout triggered</t>
  </si>
  <si>
    <t xml:space="preserve">A risk flag on any knockout question overrides the band</t>
  </si>
  <si>
    <t xml:space="preserve">Recommendation</t>
  </si>
  <si>
    <t xml:space="preserve">Risk bands and knockout rules</t>
  </si>
  <si>
    <t xml:space="preserve">Lower score is better. Thresholds are lower bounds; MATCH finds the highest bound not exceeding the score.</t>
  </si>
  <si>
    <t xml:space="preserve">Lower bound</t>
  </si>
  <si>
    <t xml:space="preserve">Band</t>
  </si>
  <si>
    <t xml:space="preserve">Recommended action</t>
  </si>
  <si>
    <t xml:space="preserve">Low</t>
  </si>
  <si>
    <t xml:space="preserve">Recommend approval</t>
  </si>
  <si>
    <t xml:space="preserve">Moderate</t>
  </si>
  <si>
    <t xml:space="preserve">Approve with conditions or monitoring</t>
  </si>
  <si>
    <t xml:space="preserve">Elevated</t>
  </si>
  <si>
    <t xml:space="preserve">Refer for supervisory review</t>
  </si>
  <si>
    <t xml:space="preserve">High</t>
  </si>
  <si>
    <t xml:space="preserve">Recommend rejection</t>
  </si>
  <si>
    <t xml:space="preserve">Knockout criteria</t>
  </si>
  <si>
    <t xml:space="preserve">PC1 risk flag = 1</t>
  </si>
  <si>
    <t xml:space="preserve">Conviction or civil liability found by a court. The case is referred regardless of the weighted score.</t>
  </si>
  <si>
    <t xml:space="preserve">Scoring precondition</t>
  </si>
  <si>
    <t xml:space="preserve">Scoring runs only on a fully authenticated submission. Any mismatch, missing document or unverifiable field is resolved with the filer before the scoring engine is called, so the engine only ever sees corrected answers.</t>
  </si>
  <si>
    <t xml:space="preserve">Section weights and the split within each section</t>
  </si>
  <si>
    <t xml:space="preserve">Section weights sum to 100. Within a section, question weights sum to the section weight.</t>
  </si>
  <si>
    <t xml:space="preserve">Questions</t>
  </si>
  <si>
    <t xml:space="preserve">Split</t>
  </si>
  <si>
    <t xml:space="preserve">Why this weight</t>
  </si>
  <si>
    <t xml:space="preserve">A1, A4</t>
  </si>
  <si>
    <t xml:space="preserve">A1 = 2.5  /  A4 = 1.5</t>
  </si>
  <si>
    <t xml:space="preserve">Demographic proxy only. Deliberately the smallest weight; it is in the model because the source questionnaire has it.</t>
  </si>
  <si>
    <t xml:space="preserve">Q1, Q3</t>
  </si>
  <si>
    <t xml:space="preserve">Q1 = 6  /  Q3 = 12</t>
  </si>
  <si>
    <t xml:space="preserve">Competence. Second heaviest, driven almost entirely by depth of relevant experience.</t>
  </si>
  <si>
    <t xml:space="preserve">PC1, PC19</t>
  </si>
  <si>
    <t xml:space="preserve">PC1 = 18  /  PC19 = 8</t>
  </si>
  <si>
    <t xml:space="preserve">Integrity. Heaviest section and the only one carrying a knock-out, since honesty and record are the core of a fit and proper test.</t>
  </si>
  <si>
    <t xml:space="preserve">FC5, FC7</t>
  </si>
  <si>
    <t xml:space="preserve">FC5 = 10  /  FC7 = 6</t>
  </si>
  <si>
    <t xml:space="preserve">Personal financial distress is a recognised driver of misconduct risk and of susceptibility to influence.</t>
  </si>
  <si>
    <t xml:space="preserve">CoI2, CoI6</t>
  </si>
  <si>
    <t xml:space="preserve">CoI2 = 5  /  CoI6 = 9</t>
  </si>
  <si>
    <t xml:space="preserve">External positions and ownership that compete with the licensee's interests.</t>
  </si>
  <si>
    <t xml:space="preserve">T1, T2</t>
  </si>
  <si>
    <t xml:space="preserve">T1 = 5  /  T2 = 3</t>
  </si>
  <si>
    <t xml:space="preserve">Governance capacity. Material for executives, largely inapplicable for non-executives.</t>
  </si>
  <si>
    <t xml:space="preserve">CoL1, CoL3</t>
  </si>
  <si>
    <t xml:space="preserve">CoL1 = 5  /  CoL3 = 3</t>
  </si>
  <si>
    <t xml:space="preserve">Holdings in the licensee itself. Disclosable and manageable, so weighted below external conflicts.</t>
  </si>
  <si>
    <t xml:space="preserve">CS4 = 6</t>
  </si>
  <si>
    <t xml:space="preserve">Self-attested understanding of duties. Low weight because it is self-declared.</t>
  </si>
  <si>
    <t xml:space="preserve">Check: question weights sum to section weight</t>
  </si>
  <si>
    <t xml:space="preserve">The five test applicants scored against this model</t>
  </si>
  <si>
    <t xml:space="preserve">Answers are those that reach the scoring engine: as submitted, except the three answers authentication corrects first (highlighted, listed below). Weights and polarity are read from the Scoring Model sheet.</t>
  </si>
  <si>
    <t xml:space="preserve">APP001
Johanna N. Amutenya</t>
  </si>
  <si>
    <t xml:space="preserve">APP002
Petrus K. Shivute</t>
  </si>
  <si>
    <t xml:space="preserve">APP003
Elias T. Haufiku</t>
  </si>
  <si>
    <t xml:space="preserve">APP004
Maria L. van Wyk</t>
  </si>
  <si>
    <t xml:space="preserve">APP005
Margaret Kaapanda</t>
  </si>
  <si>
    <t xml:space="preserve">APP001 risk</t>
  </si>
  <si>
    <t xml:space="preserve">APP002 risk</t>
  </si>
  <si>
    <t xml:space="preserve">APP003 risk</t>
  </si>
  <si>
    <t xml:space="preserve">APP004 risk</t>
  </si>
  <si>
    <t xml:space="preserve">APP005 risk</t>
  </si>
  <si>
    <t xml:space="preserve">APP001 applicable</t>
  </si>
  <si>
    <t xml:space="preserve">APP002 applicable</t>
  </si>
  <si>
    <t xml:space="preserve">APP003 applicable</t>
  </si>
  <si>
    <t xml:space="preserve">APP004 applicable</t>
  </si>
  <si>
    <t xml:space="preserve">APP005 applicable</t>
  </si>
  <si>
    <t xml:space="preserve">Normalised risk score</t>
  </si>
  <si>
    <t xml:space="preserve">Answers corrected by authentication before scoring</t>
  </si>
  <si>
    <t xml:space="preserve">Application</t>
  </si>
  <si>
    <t xml:space="preserve">Submitted</t>
  </si>
  <si>
    <t xml:space="preserve">Scored</t>
  </si>
  <si>
    <t xml:space="preserve">Why</t>
  </si>
  <si>
    <t xml:space="preserve">APP003</t>
  </si>
  <si>
    <t xml:space="preserve">Employment letter supports 8 years 2 months, not ten.</t>
  </si>
  <si>
    <t xml:space="preserve">Tax certificate records a 2019/2020 filing 231 days late, penalty levied.</t>
  </si>
  <si>
    <t xml:space="preserve">APP004</t>
  </si>
  <si>
    <t xml:space="preserve">Police clearance records a 2013 conviction under s.34 Companies Act.</t>
  </si>
  <si>
    <t xml:space="preserve">What the corrections change (illustrative — the engine never scores the uncorrected answers)</t>
  </si>
  <si>
    <t xml:space="preserve">Score if uncorrected</t>
  </si>
  <si>
    <t xml:space="preserve">Band if uncorrected</t>
  </si>
  <si>
    <t xml:space="preserve">Knockout if uncorrected</t>
  </si>
  <si>
    <t xml:space="preserve">Score as scored</t>
  </si>
  <si>
    <t xml:space="preserve">Band as scored</t>
  </si>
  <si>
    <t xml:space="preserve">Knockout as scored</t>
  </si>
  <si>
    <t xml:space="preserve">Open decision: T1 for non-executive appointments</t>
  </si>
  <si>
    <t xml:space="preserve">T1 is Positive, so a non-executive correctly answering No is charged its full weight — the same effect T2 had before it was made N/A. The rows below show each applicant's score if T1 were N/A for non-executive appointments. Not applied to the scores above.</t>
  </si>
  <si>
    <t xml:space="preserve">Non-executive appointment</t>
  </si>
  <si>
    <t xml:space="preserve">Weighted risk with T1 N/A</t>
  </si>
  <si>
    <t xml:space="preserve">Applicable weight with T1 N/A</t>
  </si>
  <si>
    <t xml:space="preserve">Risk score with T1 N/A</t>
  </si>
  <si>
    <t xml:space="preserve">Risk band with T1 N/A</t>
  </si>
  <si>
    <t xml:space="preserve">Change in score</t>
  </si>
  <si>
    <t xml:space="preserve">Changes since the previous scoring model (fnp_scoring_model_15q.xlsx)</t>
  </si>
  <si>
    <t xml:space="preserve">Change</t>
  </si>
  <si>
    <t xml:space="preserve">Detail</t>
  </si>
  <si>
    <t xml:space="preserve">Effect on scores</t>
  </si>
  <si>
    <t xml:space="preserve">A4 polarity: Positive → Negative</t>
  </si>
  <si>
    <t xml:space="preserve">Naturalised (Yes) now contributes the question weight of 1.5.</t>
  </si>
  <si>
    <t xml:space="preserve">Only APP003 (the one naturalised applicant): +1.5 risk.</t>
  </si>
  <si>
    <t xml:space="preserve">Section renamed: Age → Basic Details</t>
  </si>
  <si>
    <t xml:space="preserve">Label only; weight (4) and questions (A1, A4) unchanged.</t>
  </si>
  <si>
    <t xml:space="preserve">None.</t>
  </si>
  <si>
    <t xml:space="preserve">Knock-out → knockout, Yes/No → 1/0</t>
  </si>
  <si>
    <t xml:space="preserve">Matches the engine input JSON. PC1 remains the single knockout.</t>
  </si>
  <si>
    <t xml:space="preserve">Question wording</t>
  </si>
  <si>
    <t xml:space="preserve">PC1 no longer names a country; FC7 threshold reads N$2.5mn; CoI6 defines a controlling interest as 20% or more of voting shares, or the ability to appoint or remove a majority of the board.</t>
  </si>
  <si>
    <t xml:space="preserve">None — wording only.</t>
  </si>
  <si>
    <t xml:space="preserve">Generated from the applicant JSON</t>
  </si>
  <si>
    <t xml:space="preserve">Weights, polarity, knockout flags and question text are read from APP001.json rather than retyped, so the model and the engine input cannot silently disagree at build time.</t>
  </si>
  <si>
    <t xml:space="preserve">Worked examples score post-correction answers</t>
  </si>
  <si>
    <t xml:space="preserve">APP003 (Q3, PC19) and APP004 (PC1) are scored on the corrected answers, since the engine only ever receives those. A table shows what the uncorrected answers would have scored.</t>
  </si>
  <si>
    <t xml:space="preserve">APP004 moves from Elevated with no knockout to High with the knockout triggered.</t>
  </si>
  <si>
    <t xml:space="preserve">Reconciled to the backend engine</t>
  </si>
  <si>
    <t xml:space="preserve">APP001: total weighted risk 10.0 over applicable weight 97.0 gives 10.309278, band Moderate, no knockout — identical to the engine's score_summary.</t>
  </si>
  <si>
    <t xml:space="preserve">—</t>
  </si>
  <si>
    <t xml:space="preserve">Not changed, but open</t>
  </si>
  <si>
    <t xml:space="preserve">T1 (Positive) charges a non-executive for correctly answering No — see Worked Examples. Weights, section weights, bands and the knockout rule are unchanged.</t>
  </si>
  <si>
    <t xml:space="preserve">Design notes and assumptions</t>
  </si>
  <si>
    <t xml:space="preserve">How the score works</t>
  </si>
  <si>
    <t xml:space="preserve">Each question carries a weight in risk points. An unfavourable answer contributes its full weight; a favourable answer contributes nothing. The normalised score is total weighted risk divided by total applicable weight, so it lands between 0 and 1 regardless of how many questions are N/A. Lower is better.</t>
  </si>
  <si>
    <t xml:space="preserve">Weights follow severity, not question count</t>
  </si>
  <si>
    <t xml:space="preserve">Section weights sum to 100 and are set by consequence. Within a section the split is deliberately uneven: Q3 carries twice Q1, PC1 more than twice PC19.</t>
  </si>
  <si>
    <t xml:space="preserve">The knockout sits outside the weighted score</t>
  </si>
  <si>
    <t xml:space="preserve">A conviction alone contributes 18 of 100, which reads as Moderate. That is the wrong outcome, so PC1 is a knockout: a risk flag on it refers the case whatever the total.</t>
  </si>
  <si>
    <t xml:space="preserve">Answers are taken as true</t>
  </si>
  <si>
    <t xml:space="preserve">Scoring runs only after every answer has been authenticated against its evidence. Mismatches go back to the filer first, so the model carries no evidence-state column and no confidence discount.</t>
  </si>
  <si>
    <t xml:space="preserve">N/A handling</t>
  </si>
  <si>
    <t xml:space="preserve">N/A removes a question from both numerator and denominator. T2 is the live case: for a non-executive appointment it is N/A rather than No. N/A is a property of the appointment type, set when the form is built.</t>
  </si>
  <si>
    <t xml:space="preserve">Polarity notes</t>
  </si>
  <si>
    <t xml:space="preserve">A1 is Positive: the source workbook had it Negative, which charged an applicant inside the 45–60 band. As Positive, an applicant outside the band in either direction is charged 2.5 — APP002 (62) and APP005 (63) both are. A4 is Negative by decision: it scores naturalised status, not conduct, so it is the criterion most open to challenge. T1 and T2 are both Positive: T2 is handled by N/A, T1 is not — open, with the impact shown on Worked Examples.</t>
  </si>
  <si>
    <t xml:space="preserve">Bands</t>
  </si>
  <si>
    <t xml:space="preserve">Low to 0.10, Moderate to 0.25, Elevated to 0.45, High above. A starting point, not a calibrated instrument: test against decided cases before it influences a real decision.</t>
  </si>
  <si>
    <t xml:space="preserve">What this model cannot see</t>
  </si>
  <si>
    <t xml:space="preserve">Every question is binary, so magnitude and recency are invisible: a 3% and a 60% holding score the same, as do a conviction from 1998 and one from last year. Those are what the reviewer adds.</t>
  </si>
  <si>
    <t xml:space="preserve">Jurisdiction</t>
  </si>
  <si>
    <t xml:space="preserve">Two references in the question text are still tied to the source instrument: PC19 cites “Section 3(1)(iii) of the Act” and CoI2 says “as defined in the BSA”. Both need replacing with the equivalent Namibian provisions.</t>
  </si>
</sst>
</file>

<file path=xl/styles.xml><?xml version="1.0" encoding="utf-8"?>
<styleSheet xmlns="http://schemas.openxmlformats.org/spreadsheetml/2006/main">
  <numFmts count="6">
    <numFmt numFmtId="164" formatCode="General"/>
    <numFmt numFmtId="165" formatCode="General"/>
    <numFmt numFmtId="166" formatCode="0.000"/>
    <numFmt numFmtId="167" formatCode="0.0"/>
    <numFmt numFmtId="168" formatCode="0.00"/>
    <numFmt numFmtId="169" formatCode="\+0.0;\-0.0;0.0"/>
  </numFmts>
  <fonts count="10">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sz val="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F2F2F2"/>
        <bgColor rgb="FFE8EEF7"/>
      </patternFill>
    </fill>
    <fill>
      <patternFill patternType="solid">
        <fgColor rgb="FFE8EEF7"/>
        <bgColor rgb="FFF2F2F2"/>
      </patternFill>
    </fill>
    <fill>
      <patternFill patternType="solid">
        <fgColor rgb="FFFCE4E4"/>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5" fontId="7" fillId="4"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5" fontId="9" fillId="5" borderId="1" xfId="0" applyFont="true" applyBorder="true" applyAlignment="true" applyProtection="false">
      <alignment horizontal="general" vertical="top" textRotation="0" wrapText="true" indent="0" shrinkToFit="false"/>
      <protection locked="true" hidden="false"/>
    </xf>
    <xf numFmtId="166" fontId="9" fillId="5" borderId="1" xfId="0" applyFont="true" applyBorder="true" applyAlignment="true" applyProtection="false">
      <alignment horizontal="general" vertical="top" textRotation="0" wrapText="true" indent="0" shrinkToFit="false"/>
      <protection locked="true" hidden="false"/>
    </xf>
    <xf numFmtId="167" fontId="9" fillId="5"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7" fontId="9" fillId="5" borderId="1" xfId="0" applyFont="true" applyBorder="true" applyAlignment="false" applyProtection="false">
      <alignment horizontal="general" vertical="bottom" textRotation="0" wrapText="false" indent="0" shrinkToFit="false"/>
      <protection locked="true" hidden="false"/>
    </xf>
    <xf numFmtId="169" fontId="9" fillId="5"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EE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3" min="3" style="0" width="7"/>
    <col collapsed="false" customWidth="true" hidden="false" outlineLevel="0" max="4" min="4" style="0" width="62"/>
    <col collapsed="false" customWidth="true" hidden="false" outlineLevel="0" max="5" min="5" style="0" width="9"/>
    <col collapsed="false" customWidth="true" hidden="false" outlineLevel="0" max="6" min="6" style="0" width="10"/>
    <col collapsed="false" customWidth="true" hidden="false" outlineLevel="0" max="7" min="7" style="0" width="13"/>
    <col collapsed="false" customWidth="true" hidden="false" outlineLevel="0" max="8" min="8" style="0" width="8"/>
    <col collapsed="false" customWidth="true" hidden="false" outlineLevel="0" max="10" min="9" style="0" width="11"/>
    <col collapsed="false" customWidth="true" hidden="false" outlineLevel="0" max="11" min="11" style="0" width="9"/>
    <col collapsed="false" customWidth="true" hidden="false" outlineLevel="0" max="12" min="12" style="0" width="58"/>
  </cols>
  <sheetData>
    <row r="1" customFormat="false" ht="16.1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15" hidden="false" customHeight="false" outlineLevel="0" collapsed="false">
      <c r="A5" s="4" t="s">
        <v>14</v>
      </c>
      <c r="B5" s="5" t="n">
        <v>4</v>
      </c>
      <c r="C5" s="5" t="s">
        <v>15</v>
      </c>
      <c r="D5" s="4" t="s">
        <v>16</v>
      </c>
      <c r="E5" s="5" t="s">
        <v>17</v>
      </c>
      <c r="F5" s="6" t="n">
        <v>2.5</v>
      </c>
      <c r="G5" s="7" t="s">
        <v>18</v>
      </c>
      <c r="H5" s="8" t="n">
        <f aca="false">IF(G5="N/A",0,IF(E5="Positive",IF(G5="Yes",0,1),IF(G5="Yes",1,0)))</f>
        <v>0</v>
      </c>
      <c r="I5" s="8" t="n">
        <f aca="false">IF(G5="N/A",0,F5)</f>
        <v>2.5</v>
      </c>
      <c r="J5" s="8" t="n">
        <f aca="false">H5*I5</f>
        <v>0</v>
      </c>
      <c r="K5" s="5" t="n">
        <v>0</v>
      </c>
      <c r="L5" s="9" t="s">
        <v>19</v>
      </c>
    </row>
    <row r="6" customFormat="false" ht="32.8" hidden="false" customHeight="false" outlineLevel="0" collapsed="false">
      <c r="A6" s="4" t="s">
        <v>14</v>
      </c>
      <c r="B6" s="5" t="n">
        <v>4</v>
      </c>
      <c r="C6" s="5" t="s">
        <v>20</v>
      </c>
      <c r="D6" s="4" t="s">
        <v>21</v>
      </c>
      <c r="E6" s="5" t="s">
        <v>22</v>
      </c>
      <c r="F6" s="6" t="n">
        <v>1.5</v>
      </c>
      <c r="G6" s="7" t="s">
        <v>23</v>
      </c>
      <c r="H6" s="8" t="n">
        <f aca="false">IF(G6="N/A",0,IF(E6="Positive",IF(G6="Yes",0,1),IF(G6="Yes",1,0)))</f>
        <v>0</v>
      </c>
      <c r="I6" s="8" t="n">
        <f aca="false">IF(G6="N/A",0,F6)</f>
        <v>1.5</v>
      </c>
      <c r="J6" s="8" t="n">
        <f aca="false">H6*I6</f>
        <v>0</v>
      </c>
      <c r="K6" s="5" t="n">
        <v>0</v>
      </c>
      <c r="L6" s="9" t="s">
        <v>24</v>
      </c>
    </row>
    <row r="7" customFormat="false" ht="22.35" hidden="false" customHeight="false" outlineLevel="0" collapsed="false">
      <c r="A7" s="4" t="s">
        <v>25</v>
      </c>
      <c r="B7" s="5" t="n">
        <v>18</v>
      </c>
      <c r="C7" s="5" t="s">
        <v>26</v>
      </c>
      <c r="D7" s="4" t="s">
        <v>27</v>
      </c>
      <c r="E7" s="5" t="s">
        <v>17</v>
      </c>
      <c r="F7" s="6" t="n">
        <v>6</v>
      </c>
      <c r="G7" s="7" t="s">
        <v>18</v>
      </c>
      <c r="H7" s="8" t="n">
        <f aca="false">IF(G7="N/A",0,IF(E7="Positive",IF(G7="Yes",0,1),IF(G7="Yes",1,0)))</f>
        <v>0</v>
      </c>
      <c r="I7" s="8" t="n">
        <f aca="false">IF(G7="N/A",0,F7)</f>
        <v>6</v>
      </c>
      <c r="J7" s="8" t="n">
        <f aca="false">H7*I7</f>
        <v>0</v>
      </c>
      <c r="K7" s="5" t="n">
        <v>0</v>
      </c>
      <c r="L7" s="9" t="s">
        <v>28</v>
      </c>
    </row>
    <row r="8" customFormat="false" ht="22.35" hidden="false" customHeight="false" outlineLevel="0" collapsed="false">
      <c r="A8" s="4" t="s">
        <v>25</v>
      </c>
      <c r="B8" s="5" t="n">
        <v>18</v>
      </c>
      <c r="C8" s="5" t="s">
        <v>29</v>
      </c>
      <c r="D8" s="4" t="s">
        <v>30</v>
      </c>
      <c r="E8" s="5" t="s">
        <v>17</v>
      </c>
      <c r="F8" s="6" t="n">
        <v>12</v>
      </c>
      <c r="G8" s="7" t="s">
        <v>18</v>
      </c>
      <c r="H8" s="8" t="n">
        <f aca="false">IF(G8="N/A",0,IF(E8="Positive",IF(G8="Yes",0,1),IF(G8="Yes",1,0)))</f>
        <v>0</v>
      </c>
      <c r="I8" s="8" t="n">
        <f aca="false">IF(G8="N/A",0,F8)</f>
        <v>12</v>
      </c>
      <c r="J8" s="8" t="n">
        <f aca="false">H8*I8</f>
        <v>0</v>
      </c>
      <c r="K8" s="5" t="n">
        <v>0</v>
      </c>
      <c r="L8" s="9" t="s">
        <v>31</v>
      </c>
    </row>
    <row r="9" customFormat="false" ht="35.05" hidden="false" customHeight="false" outlineLevel="0" collapsed="false">
      <c r="A9" s="4" t="s">
        <v>32</v>
      </c>
      <c r="B9" s="5" t="n">
        <v>26</v>
      </c>
      <c r="C9" s="5" t="s">
        <v>33</v>
      </c>
      <c r="D9" s="4" t="s">
        <v>34</v>
      </c>
      <c r="E9" s="5" t="s">
        <v>22</v>
      </c>
      <c r="F9" s="6" t="n">
        <v>18</v>
      </c>
      <c r="G9" s="7" t="s">
        <v>23</v>
      </c>
      <c r="H9" s="8" t="n">
        <f aca="false">IF(G9="N/A",0,IF(E9="Positive",IF(G9="Yes",0,1),IF(G9="Yes",1,0)))</f>
        <v>0</v>
      </c>
      <c r="I9" s="8" t="n">
        <f aca="false">IF(G9="N/A",0,F9)</f>
        <v>18</v>
      </c>
      <c r="J9" s="8" t="n">
        <f aca="false">H9*I9</f>
        <v>0</v>
      </c>
      <c r="K9" s="5" t="n">
        <v>1</v>
      </c>
      <c r="L9" s="9" t="s">
        <v>35</v>
      </c>
    </row>
    <row r="10" customFormat="false" ht="23.85" hidden="false" customHeight="false" outlineLevel="0" collapsed="false">
      <c r="A10" s="4" t="s">
        <v>32</v>
      </c>
      <c r="B10" s="5" t="n">
        <v>26</v>
      </c>
      <c r="C10" s="5" t="s">
        <v>36</v>
      </c>
      <c r="D10" s="4" t="s">
        <v>37</v>
      </c>
      <c r="E10" s="5" t="s">
        <v>22</v>
      </c>
      <c r="F10" s="6" t="n">
        <v>8</v>
      </c>
      <c r="G10" s="7" t="s">
        <v>23</v>
      </c>
      <c r="H10" s="8" t="n">
        <f aca="false">IF(G10="N/A",0,IF(E10="Positive",IF(G10="Yes",0,1),IF(G10="Yes",1,0)))</f>
        <v>0</v>
      </c>
      <c r="I10" s="8" t="n">
        <f aca="false">IF(G10="N/A",0,F10)</f>
        <v>8</v>
      </c>
      <c r="J10" s="8" t="n">
        <f aca="false">H10*I10</f>
        <v>0</v>
      </c>
      <c r="K10" s="5" t="n">
        <v>0</v>
      </c>
      <c r="L10" s="9" t="s">
        <v>38</v>
      </c>
    </row>
    <row r="11" customFormat="false" ht="46.25" hidden="false" customHeight="false" outlineLevel="0" collapsed="false">
      <c r="A11" s="4" t="s">
        <v>39</v>
      </c>
      <c r="B11" s="5" t="n">
        <v>16</v>
      </c>
      <c r="C11" s="5" t="s">
        <v>40</v>
      </c>
      <c r="D11" s="4" t="s">
        <v>41</v>
      </c>
      <c r="E11" s="5" t="s">
        <v>22</v>
      </c>
      <c r="F11" s="6" t="n">
        <v>10</v>
      </c>
      <c r="G11" s="7" t="s">
        <v>23</v>
      </c>
      <c r="H11" s="8" t="n">
        <f aca="false">IF(G11="N/A",0,IF(E11="Positive",IF(G11="Yes",0,1),IF(G11="Yes",1,0)))</f>
        <v>0</v>
      </c>
      <c r="I11" s="8" t="n">
        <f aca="false">IF(G11="N/A",0,F11)</f>
        <v>10</v>
      </c>
      <c r="J11" s="8" t="n">
        <f aca="false">H11*I11</f>
        <v>0</v>
      </c>
      <c r="K11" s="5" t="n">
        <v>0</v>
      </c>
      <c r="L11" s="9" t="s">
        <v>42</v>
      </c>
    </row>
    <row r="12" customFormat="false" ht="46.25" hidden="false" customHeight="false" outlineLevel="0" collapsed="false">
      <c r="A12" s="4" t="s">
        <v>39</v>
      </c>
      <c r="B12" s="5" t="n">
        <v>16</v>
      </c>
      <c r="C12" s="5" t="s">
        <v>43</v>
      </c>
      <c r="D12" s="4" t="s">
        <v>44</v>
      </c>
      <c r="E12" s="5" t="s">
        <v>22</v>
      </c>
      <c r="F12" s="6" t="n">
        <v>6</v>
      </c>
      <c r="G12" s="7" t="s">
        <v>23</v>
      </c>
      <c r="H12" s="8" t="n">
        <f aca="false">IF(G12="N/A",0,IF(E12="Positive",IF(G12="Yes",0,1),IF(G12="Yes",1,0)))</f>
        <v>0</v>
      </c>
      <c r="I12" s="8" t="n">
        <f aca="false">IF(G12="N/A",0,F12)</f>
        <v>6</v>
      </c>
      <c r="J12" s="8" t="n">
        <f aca="false">H12*I12</f>
        <v>0</v>
      </c>
      <c r="K12" s="5" t="n">
        <v>0</v>
      </c>
      <c r="L12" s="9" t="s">
        <v>45</v>
      </c>
    </row>
    <row r="13" customFormat="false" ht="35.05" hidden="false" customHeight="false" outlineLevel="0" collapsed="false">
      <c r="A13" s="4" t="s">
        <v>46</v>
      </c>
      <c r="B13" s="5" t="n">
        <v>14</v>
      </c>
      <c r="C13" s="5" t="s">
        <v>47</v>
      </c>
      <c r="D13" s="4" t="s">
        <v>48</v>
      </c>
      <c r="E13" s="5" t="s">
        <v>22</v>
      </c>
      <c r="F13" s="6" t="n">
        <v>5</v>
      </c>
      <c r="G13" s="7" t="s">
        <v>18</v>
      </c>
      <c r="H13" s="8" t="n">
        <f aca="false">IF(G13="N/A",0,IF(E13="Positive",IF(G13="Yes",0,1),IF(G13="Yes",1,0)))</f>
        <v>1</v>
      </c>
      <c r="I13" s="8" t="n">
        <f aca="false">IF(G13="N/A",0,F13)</f>
        <v>5</v>
      </c>
      <c r="J13" s="8" t="n">
        <f aca="false">H13*I13</f>
        <v>5</v>
      </c>
      <c r="K13" s="5" t="n">
        <v>0</v>
      </c>
      <c r="L13" s="9" t="s">
        <v>49</v>
      </c>
    </row>
    <row r="14" customFormat="false" ht="57.45" hidden="false" customHeight="false" outlineLevel="0" collapsed="false">
      <c r="A14" s="4" t="s">
        <v>46</v>
      </c>
      <c r="B14" s="5" t="n">
        <v>14</v>
      </c>
      <c r="C14" s="5" t="s">
        <v>50</v>
      </c>
      <c r="D14" s="4" t="s">
        <v>51</v>
      </c>
      <c r="E14" s="5" t="s">
        <v>22</v>
      </c>
      <c r="F14" s="6" t="n">
        <v>9</v>
      </c>
      <c r="G14" s="7" t="s">
        <v>23</v>
      </c>
      <c r="H14" s="8" t="n">
        <f aca="false">IF(G14="N/A",0,IF(E14="Positive",IF(G14="Yes",0,1),IF(G14="Yes",1,0)))</f>
        <v>0</v>
      </c>
      <c r="I14" s="8" t="n">
        <f aca="false">IF(G14="N/A",0,F14)</f>
        <v>9</v>
      </c>
      <c r="J14" s="8" t="n">
        <f aca="false">H14*I14</f>
        <v>0</v>
      </c>
      <c r="K14" s="5" t="n">
        <v>0</v>
      </c>
      <c r="L14" s="9" t="s">
        <v>52</v>
      </c>
    </row>
    <row r="15" customFormat="false" ht="32.8" hidden="false" customHeight="false" outlineLevel="0" collapsed="false">
      <c r="A15" s="4" t="s">
        <v>53</v>
      </c>
      <c r="B15" s="5" t="n">
        <v>8</v>
      </c>
      <c r="C15" s="5" t="s">
        <v>54</v>
      </c>
      <c r="D15" s="4" t="s">
        <v>55</v>
      </c>
      <c r="E15" s="5" t="s">
        <v>17</v>
      </c>
      <c r="F15" s="6" t="n">
        <v>5</v>
      </c>
      <c r="G15" s="7" t="s">
        <v>23</v>
      </c>
      <c r="H15" s="8" t="n">
        <f aca="false">IF(G15="N/A",0,IF(E15="Positive",IF(G15="Yes",0,1),IF(G15="Yes",1,0)))</f>
        <v>1</v>
      </c>
      <c r="I15" s="8" t="n">
        <f aca="false">IF(G15="N/A",0,F15)</f>
        <v>5</v>
      </c>
      <c r="J15" s="8" t="n">
        <f aca="false">H15*I15</f>
        <v>5</v>
      </c>
      <c r="K15" s="5" t="n">
        <v>0</v>
      </c>
      <c r="L15" s="9" t="s">
        <v>56</v>
      </c>
    </row>
    <row r="16" customFormat="false" ht="35.05" hidden="false" customHeight="false" outlineLevel="0" collapsed="false">
      <c r="A16" s="4" t="s">
        <v>53</v>
      </c>
      <c r="B16" s="5" t="n">
        <v>8</v>
      </c>
      <c r="C16" s="5" t="s">
        <v>57</v>
      </c>
      <c r="D16" s="4" t="s">
        <v>58</v>
      </c>
      <c r="E16" s="5" t="s">
        <v>17</v>
      </c>
      <c r="F16" s="6" t="n">
        <v>3</v>
      </c>
      <c r="G16" s="7" t="s">
        <v>59</v>
      </c>
      <c r="H16" s="8" t="n">
        <f aca="false">IF(G16="N/A",0,IF(E16="Positive",IF(G16="Yes",0,1),IF(G16="Yes",1,0)))</f>
        <v>0</v>
      </c>
      <c r="I16" s="8" t="n">
        <f aca="false">IF(G16="N/A",0,F16)</f>
        <v>0</v>
      </c>
      <c r="J16" s="8" t="n">
        <f aca="false">H16*I16</f>
        <v>0</v>
      </c>
      <c r="K16" s="5" t="n">
        <v>0</v>
      </c>
      <c r="L16" s="9" t="s">
        <v>60</v>
      </c>
    </row>
    <row r="17" customFormat="false" ht="23.85" hidden="false" customHeight="false" outlineLevel="0" collapsed="false">
      <c r="A17" s="4" t="s">
        <v>61</v>
      </c>
      <c r="B17" s="5" t="n">
        <v>8</v>
      </c>
      <c r="C17" s="5" t="s">
        <v>62</v>
      </c>
      <c r="D17" s="4" t="s">
        <v>63</v>
      </c>
      <c r="E17" s="5" t="s">
        <v>22</v>
      </c>
      <c r="F17" s="6" t="n">
        <v>5</v>
      </c>
      <c r="G17" s="7" t="s">
        <v>23</v>
      </c>
      <c r="H17" s="8" t="n">
        <f aca="false">IF(G17="N/A",0,IF(E17="Positive",IF(G17="Yes",0,1),IF(G17="Yes",1,0)))</f>
        <v>0</v>
      </c>
      <c r="I17" s="8" t="n">
        <f aca="false">IF(G17="N/A",0,F17)</f>
        <v>5</v>
      </c>
      <c r="J17" s="8" t="n">
        <f aca="false">H17*I17</f>
        <v>0</v>
      </c>
      <c r="K17" s="5" t="n">
        <v>0</v>
      </c>
      <c r="L17" s="9" t="s">
        <v>64</v>
      </c>
    </row>
    <row r="18" customFormat="false" ht="23.85" hidden="false" customHeight="false" outlineLevel="0" collapsed="false">
      <c r="A18" s="4" t="s">
        <v>61</v>
      </c>
      <c r="B18" s="5" t="n">
        <v>8</v>
      </c>
      <c r="C18" s="5" t="s">
        <v>65</v>
      </c>
      <c r="D18" s="4" t="s">
        <v>66</v>
      </c>
      <c r="E18" s="5" t="s">
        <v>22</v>
      </c>
      <c r="F18" s="6" t="n">
        <v>3</v>
      </c>
      <c r="G18" s="7" t="s">
        <v>23</v>
      </c>
      <c r="H18" s="8" t="n">
        <f aca="false">IF(G18="N/A",0,IF(E18="Positive",IF(G18="Yes",0,1),IF(G18="Yes",1,0)))</f>
        <v>0</v>
      </c>
      <c r="I18" s="8" t="n">
        <f aca="false">IF(G18="N/A",0,F18)</f>
        <v>3</v>
      </c>
      <c r="J18" s="8" t="n">
        <f aca="false">H18*I18</f>
        <v>0</v>
      </c>
      <c r="K18" s="5" t="n">
        <v>0</v>
      </c>
      <c r="L18" s="9" t="s">
        <v>67</v>
      </c>
    </row>
    <row r="19" customFormat="false" ht="57.45" hidden="false" customHeight="false" outlineLevel="0" collapsed="false">
      <c r="A19" s="4" t="s">
        <v>68</v>
      </c>
      <c r="B19" s="5" t="n">
        <v>6</v>
      </c>
      <c r="C19" s="5" t="s">
        <v>69</v>
      </c>
      <c r="D19" s="4" t="s">
        <v>70</v>
      </c>
      <c r="E19" s="5" t="s">
        <v>17</v>
      </c>
      <c r="F19" s="6" t="n">
        <v>6</v>
      </c>
      <c r="G19" s="7" t="s">
        <v>18</v>
      </c>
      <c r="H19" s="8" t="n">
        <f aca="false">IF(G19="N/A",0,IF(E19="Positive",IF(G19="Yes",0,1),IF(G19="Yes",1,0)))</f>
        <v>0</v>
      </c>
      <c r="I19" s="8" t="n">
        <f aca="false">IF(G19="N/A",0,F19)</f>
        <v>6</v>
      </c>
      <c r="J19" s="8" t="n">
        <f aca="false">H19*I19</f>
        <v>0</v>
      </c>
      <c r="K19" s="5" t="n">
        <v>0</v>
      </c>
      <c r="L19" s="9" t="s">
        <v>71</v>
      </c>
    </row>
    <row r="20" customFormat="false" ht="15" hidden="false" customHeight="false" outlineLevel="0" collapsed="false">
      <c r="A20" s="10"/>
      <c r="B20" s="10"/>
      <c r="C20" s="10"/>
      <c r="D20" s="11" t="s">
        <v>72</v>
      </c>
      <c r="E20" s="10"/>
      <c r="F20" s="11" t="n">
        <f aca="false">SUM(F5:F19)</f>
        <v>100</v>
      </c>
      <c r="G20" s="10"/>
      <c r="H20" s="10"/>
      <c r="I20" s="11" t="n">
        <f aca="false">SUM(I5:I19)</f>
        <v>97</v>
      </c>
      <c r="J20" s="11" t="n">
        <f aca="false">SUM(J5:J19)</f>
        <v>10</v>
      </c>
      <c r="K20" s="10"/>
      <c r="L20" s="10"/>
    </row>
    <row r="22" customFormat="false" ht="15" hidden="false" customHeight="false" outlineLevel="0" collapsed="false">
      <c r="A22" s="12" t="s">
        <v>73</v>
      </c>
    </row>
    <row r="23" customFormat="false" ht="15" hidden="false" customHeight="false" outlineLevel="0" collapsed="false">
      <c r="A23" s="13" t="s">
        <v>74</v>
      </c>
      <c r="B23" s="14" t="n">
        <f aca="false">I20</f>
        <v>97</v>
      </c>
      <c r="C23" s="2" t="s">
        <v>75</v>
      </c>
    </row>
    <row r="24" customFormat="false" ht="15" hidden="false" customHeight="false" outlineLevel="0" collapsed="false">
      <c r="A24" s="13" t="s">
        <v>76</v>
      </c>
      <c r="B24" s="14" t="n">
        <f aca="false">J20</f>
        <v>10</v>
      </c>
      <c r="C24" s="2" t="s">
        <v>77</v>
      </c>
    </row>
    <row r="25" customFormat="false" ht="15" hidden="false" customHeight="false" outlineLevel="0" collapsed="false">
      <c r="A25" s="13" t="s">
        <v>78</v>
      </c>
      <c r="B25" s="15" t="n">
        <f aca="false">IFERROR(B24/B23,0)</f>
        <v>0.103092783505155</v>
      </c>
      <c r="C25" s="2" t="s">
        <v>79</v>
      </c>
    </row>
    <row r="26" customFormat="false" ht="15" hidden="false" customHeight="false" outlineLevel="0" collapsed="false">
      <c r="A26" s="13" t="s">
        <v>80</v>
      </c>
      <c r="B26" s="16" t="n">
        <f aca="false">B25*100</f>
        <v>10.3092783505155</v>
      </c>
      <c r="C26" s="2" t="s">
        <v>81</v>
      </c>
    </row>
    <row r="27" customFormat="false" ht="15" hidden="false" customHeight="false" outlineLevel="0" collapsed="false">
      <c r="A27" s="13" t="s">
        <v>82</v>
      </c>
      <c r="B27" s="14" t="str">
        <f aca="false">INDEX(Bands!$B$4:$B$7,MATCH(B25,Bands!$A$4:$A$7,1))</f>
        <v>Moderate</v>
      </c>
      <c r="C27" s="2" t="s">
        <v>83</v>
      </c>
    </row>
    <row r="28" customFormat="false" ht="15" hidden="false" customHeight="false" outlineLevel="0" collapsed="false">
      <c r="A28" s="13" t="s">
        <v>84</v>
      </c>
      <c r="B28" s="14" t="str">
        <f aca="false">IF(SUMPRODUCT((K5:K19=1)*(H5:H19=1))&gt;0,"Yes","No")</f>
        <v>No</v>
      </c>
      <c r="C28" s="2" t="s">
        <v>85</v>
      </c>
    </row>
    <row r="29" customFormat="false" ht="15" hidden="false" customHeight="false" outlineLevel="0" collapsed="false">
      <c r="A29" s="13" t="s">
        <v>86</v>
      </c>
      <c r="B29" s="14" t="str">
        <f aca="false">IF(B28="Yes","Refer to committee — knockout criterion met",INDEX(Bands!$C$4:$C$7,MATCH(B25,Bands!$A$4:$A$7,1)))</f>
        <v>Approve with conditions or monitoring</v>
      </c>
      <c r="C2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8"/>
    <col collapsed="false" customWidth="true" hidden="false" outlineLevel="0" max="3" min="3" style="0" width="40"/>
  </cols>
  <sheetData>
    <row r="1" customFormat="false" ht="16.15" hidden="false" customHeight="false" outlineLevel="0" collapsed="false">
      <c r="A1" s="1" t="s">
        <v>87</v>
      </c>
    </row>
    <row r="2" customFormat="false" ht="15" hidden="false" customHeight="false" outlineLevel="0" collapsed="false">
      <c r="A2" s="2" t="s">
        <v>88</v>
      </c>
    </row>
    <row r="3" customFormat="false" ht="19.5" hidden="false" customHeight="true" outlineLevel="0" collapsed="false">
      <c r="A3" s="3" t="s">
        <v>89</v>
      </c>
      <c r="B3" s="3" t="s">
        <v>90</v>
      </c>
      <c r="C3" s="3" t="s">
        <v>91</v>
      </c>
    </row>
    <row r="4" customFormat="false" ht="15" hidden="false" customHeight="false" outlineLevel="0" collapsed="false">
      <c r="A4" s="17" t="n">
        <v>0</v>
      </c>
      <c r="B4" s="18" t="s">
        <v>92</v>
      </c>
      <c r="C4" s="18" t="s">
        <v>93</v>
      </c>
    </row>
    <row r="5" customFormat="false" ht="15" hidden="false" customHeight="false" outlineLevel="0" collapsed="false">
      <c r="A5" s="17" t="n">
        <v>0.1</v>
      </c>
      <c r="B5" s="18" t="s">
        <v>94</v>
      </c>
      <c r="C5" s="18" t="s">
        <v>95</v>
      </c>
    </row>
    <row r="6" customFormat="false" ht="15" hidden="false" customHeight="false" outlineLevel="0" collapsed="false">
      <c r="A6" s="17" t="n">
        <v>0.25</v>
      </c>
      <c r="B6" s="18" t="s">
        <v>96</v>
      </c>
      <c r="C6" s="18" t="s">
        <v>97</v>
      </c>
    </row>
    <row r="7" customFormat="false" ht="15" hidden="false" customHeight="false" outlineLevel="0" collapsed="false">
      <c r="A7" s="17" t="n">
        <v>0.45</v>
      </c>
      <c r="B7" s="18" t="s">
        <v>98</v>
      </c>
      <c r="C7" s="18" t="s">
        <v>99</v>
      </c>
    </row>
    <row r="9" customFormat="false" ht="15" hidden="false" customHeight="false" outlineLevel="0" collapsed="false">
      <c r="A9" s="12" t="s">
        <v>100</v>
      </c>
    </row>
    <row r="10" customFormat="false" ht="30" hidden="false" customHeight="true" outlineLevel="0" collapsed="false">
      <c r="A10" s="12" t="s">
        <v>101</v>
      </c>
      <c r="B10" s="19" t="s">
        <v>102</v>
      </c>
    </row>
    <row r="11" customFormat="false" ht="30" hidden="false" customHeight="true" outlineLevel="0" collapsed="false">
      <c r="A11" s="12" t="s">
        <v>103</v>
      </c>
      <c r="B11" s="19"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3"/>
    <col collapsed="false" customWidth="true" hidden="false" outlineLevel="0" max="3" min="3" style="0" width="16"/>
    <col collapsed="false" customWidth="true" hidden="false" outlineLevel="0" max="4" min="4" style="0" width="26"/>
    <col collapsed="false" customWidth="true" hidden="false" outlineLevel="0" max="5" min="5" style="0" width="80"/>
  </cols>
  <sheetData>
    <row r="1" customFormat="false" ht="16.15" hidden="false" customHeight="false" outlineLevel="0" collapsed="false">
      <c r="A1" s="1" t="s">
        <v>105</v>
      </c>
    </row>
    <row r="2" customFormat="false" ht="15" hidden="false" customHeight="false" outlineLevel="0" collapsed="false">
      <c r="A2" s="2" t="s">
        <v>106</v>
      </c>
    </row>
    <row r="3" customFormat="false" ht="19.5" hidden="false" customHeight="true" outlineLevel="0" collapsed="false">
      <c r="A3" s="3" t="s">
        <v>2</v>
      </c>
      <c r="B3" s="3" t="s">
        <v>3</v>
      </c>
      <c r="C3" s="3" t="s">
        <v>107</v>
      </c>
      <c r="D3" s="3" t="s">
        <v>108</v>
      </c>
      <c r="E3" s="3" t="s">
        <v>109</v>
      </c>
    </row>
    <row r="4" customFormat="false" ht="22.35" hidden="false" customHeight="false" outlineLevel="0" collapsed="false">
      <c r="A4" s="4" t="s">
        <v>14</v>
      </c>
      <c r="B4" s="5" t="n">
        <v>4</v>
      </c>
      <c r="C4" s="5" t="s">
        <v>110</v>
      </c>
      <c r="D4" s="5" t="s">
        <v>111</v>
      </c>
      <c r="E4" s="9" t="s">
        <v>112</v>
      </c>
    </row>
    <row r="5" customFormat="false" ht="15" hidden="false" customHeight="false" outlineLevel="0" collapsed="false">
      <c r="A5" s="4" t="s">
        <v>25</v>
      </c>
      <c r="B5" s="5" t="n">
        <v>18</v>
      </c>
      <c r="C5" s="5" t="s">
        <v>113</v>
      </c>
      <c r="D5" s="5" t="s">
        <v>114</v>
      </c>
      <c r="E5" s="9" t="s">
        <v>115</v>
      </c>
    </row>
    <row r="6" customFormat="false" ht="22.35" hidden="false" customHeight="false" outlineLevel="0" collapsed="false">
      <c r="A6" s="4" t="s">
        <v>32</v>
      </c>
      <c r="B6" s="5" t="n">
        <v>26</v>
      </c>
      <c r="C6" s="5" t="s">
        <v>116</v>
      </c>
      <c r="D6" s="5" t="s">
        <v>117</v>
      </c>
      <c r="E6" s="9" t="s">
        <v>118</v>
      </c>
    </row>
    <row r="7" customFormat="false" ht="15" hidden="false" customHeight="false" outlineLevel="0" collapsed="false">
      <c r="A7" s="4" t="s">
        <v>39</v>
      </c>
      <c r="B7" s="5" t="n">
        <v>16</v>
      </c>
      <c r="C7" s="5" t="s">
        <v>119</v>
      </c>
      <c r="D7" s="5" t="s">
        <v>120</v>
      </c>
      <c r="E7" s="9" t="s">
        <v>121</v>
      </c>
    </row>
    <row r="8" customFormat="false" ht="15" hidden="false" customHeight="false" outlineLevel="0" collapsed="false">
      <c r="A8" s="4" t="s">
        <v>46</v>
      </c>
      <c r="B8" s="5" t="n">
        <v>14</v>
      </c>
      <c r="C8" s="5" t="s">
        <v>122</v>
      </c>
      <c r="D8" s="5" t="s">
        <v>123</v>
      </c>
      <c r="E8" s="9" t="s">
        <v>124</v>
      </c>
    </row>
    <row r="9" customFormat="false" ht="15" hidden="false" customHeight="false" outlineLevel="0" collapsed="false">
      <c r="A9" s="4" t="s">
        <v>53</v>
      </c>
      <c r="B9" s="5" t="n">
        <v>8</v>
      </c>
      <c r="C9" s="5" t="s">
        <v>125</v>
      </c>
      <c r="D9" s="5" t="s">
        <v>126</v>
      </c>
      <c r="E9" s="9" t="s">
        <v>127</v>
      </c>
    </row>
    <row r="10" customFormat="false" ht="15" hidden="false" customHeight="false" outlineLevel="0" collapsed="false">
      <c r="A10" s="4" t="s">
        <v>61</v>
      </c>
      <c r="B10" s="5" t="n">
        <v>8</v>
      </c>
      <c r="C10" s="5" t="s">
        <v>128</v>
      </c>
      <c r="D10" s="5" t="s">
        <v>129</v>
      </c>
      <c r="E10" s="9" t="s">
        <v>130</v>
      </c>
    </row>
    <row r="11" customFormat="false" ht="15" hidden="false" customHeight="false" outlineLevel="0" collapsed="false">
      <c r="A11" s="4" t="s">
        <v>68</v>
      </c>
      <c r="B11" s="5" t="n">
        <v>6</v>
      </c>
      <c r="C11" s="5" t="s">
        <v>69</v>
      </c>
      <c r="D11" s="5" t="s">
        <v>131</v>
      </c>
      <c r="E11" s="9" t="s">
        <v>132</v>
      </c>
    </row>
    <row r="12" customFormat="false" ht="15" hidden="false" customHeight="false" outlineLevel="0" collapsed="false">
      <c r="A12" s="12" t="s">
        <v>72</v>
      </c>
      <c r="B12" s="12" t="n">
        <f aca="false">SUM(B4:B11)</f>
        <v>100</v>
      </c>
    </row>
    <row r="13" customFormat="false" ht="15" hidden="false" customHeight="false" outlineLevel="0" collapsed="false">
      <c r="A13" s="2" t="s">
        <v>133</v>
      </c>
      <c r="B13" s="2" t="str">
        <f aca="false">IF(ROUND(SUM('Scoring Model'!F5:F19)-B12,6)=0,"OK","MISMATCH")</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7" min="2" style="0" width="16"/>
  </cols>
  <sheetData>
    <row r="1" customFormat="false" ht="16.15" hidden="false" customHeight="false" outlineLevel="0" collapsed="false">
      <c r="A1" s="1" t="s">
        <v>134</v>
      </c>
    </row>
    <row r="2" customFormat="false" ht="15" hidden="false" customHeight="false" outlineLevel="0" collapsed="false">
      <c r="A2" s="2" t="s">
        <v>135</v>
      </c>
    </row>
    <row r="4" customFormat="false" ht="33.75" hidden="false" customHeight="true" outlineLevel="0" collapsed="false">
      <c r="A4" s="3" t="s">
        <v>4</v>
      </c>
      <c r="B4" s="3" t="s">
        <v>7</v>
      </c>
      <c r="C4" s="3" t="s">
        <v>136</v>
      </c>
      <c r="D4" s="3" t="s">
        <v>137</v>
      </c>
      <c r="E4" s="3" t="s">
        <v>138</v>
      </c>
      <c r="F4" s="3" t="s">
        <v>139</v>
      </c>
      <c r="G4" s="3" t="s">
        <v>140</v>
      </c>
      <c r="H4" s="3" t="s">
        <v>141</v>
      </c>
      <c r="I4" s="3" t="s">
        <v>142</v>
      </c>
      <c r="J4" s="3" t="s">
        <v>143</v>
      </c>
      <c r="K4" s="3" t="s">
        <v>144</v>
      </c>
      <c r="L4" s="3" t="s">
        <v>145</v>
      </c>
      <c r="M4" s="3" t="s">
        <v>146</v>
      </c>
      <c r="N4" s="3" t="s">
        <v>147</v>
      </c>
      <c r="O4" s="3" t="s">
        <v>148</v>
      </c>
      <c r="P4" s="3" t="s">
        <v>149</v>
      </c>
      <c r="Q4" s="3" t="s">
        <v>150</v>
      </c>
    </row>
    <row r="5" customFormat="false" ht="15" hidden="false" customHeight="false" outlineLevel="0" collapsed="false">
      <c r="A5" s="18" t="s">
        <v>15</v>
      </c>
      <c r="B5" s="18" t="n">
        <f aca="false">'Scoring Model'!F5</f>
        <v>2.5</v>
      </c>
      <c r="C5" s="20" t="s">
        <v>18</v>
      </c>
      <c r="D5" s="20" t="s">
        <v>23</v>
      </c>
      <c r="E5" s="20" t="s">
        <v>18</v>
      </c>
      <c r="F5" s="20" t="s">
        <v>18</v>
      </c>
      <c r="G5" s="20" t="s">
        <v>23</v>
      </c>
      <c r="H5" s="14" t="n">
        <f aca="false">IF(C5="N/A",0,IF('Scoring Model'!$E5="Positive",IF(C5="Yes",0,1),IF(C5="Yes",1,0)))*IF(C5="N/A",0,'Scoring Model'!$F5)</f>
        <v>0</v>
      </c>
      <c r="I5" s="14" t="n">
        <f aca="false">IF(D5="N/A",0,IF('Scoring Model'!$E5="Positive",IF(D5="Yes",0,1),IF(D5="Yes",1,0)))*IF(D5="N/A",0,'Scoring Model'!$F5)</f>
        <v>2.5</v>
      </c>
      <c r="J5" s="14" t="n">
        <f aca="false">IF(E5="N/A",0,IF('Scoring Model'!$E5="Positive",IF(E5="Yes",0,1),IF(E5="Yes",1,0)))*IF(E5="N/A",0,'Scoring Model'!$F5)</f>
        <v>0</v>
      </c>
      <c r="K5" s="14" t="n">
        <f aca="false">IF(F5="N/A",0,IF('Scoring Model'!$E5="Positive",IF(F5="Yes",0,1),IF(F5="Yes",1,0)))*IF(F5="N/A",0,'Scoring Model'!$F5)</f>
        <v>0</v>
      </c>
      <c r="L5" s="14" t="n">
        <f aca="false">IF(G5="N/A",0,IF('Scoring Model'!$E5="Positive",IF(G5="Yes",0,1),IF(G5="Yes",1,0)))*IF(G5="N/A",0,'Scoring Model'!$F5)</f>
        <v>2.5</v>
      </c>
      <c r="M5" s="14" t="n">
        <f aca="false">IF(C5="N/A",0,'Scoring Model'!$F5)</f>
        <v>2.5</v>
      </c>
      <c r="N5" s="14" t="n">
        <f aca="false">IF(D5="N/A",0,'Scoring Model'!$F5)</f>
        <v>2.5</v>
      </c>
      <c r="O5" s="14" t="n">
        <f aca="false">IF(E5="N/A",0,'Scoring Model'!$F5)</f>
        <v>2.5</v>
      </c>
      <c r="P5" s="14" t="n">
        <f aca="false">IF(F5="N/A",0,'Scoring Model'!$F5)</f>
        <v>2.5</v>
      </c>
      <c r="Q5" s="14" t="n">
        <f aca="false">IF(G5="N/A",0,'Scoring Model'!$F5)</f>
        <v>2.5</v>
      </c>
    </row>
    <row r="6" customFormat="false" ht="15" hidden="false" customHeight="false" outlineLevel="0" collapsed="false">
      <c r="A6" s="18" t="s">
        <v>20</v>
      </c>
      <c r="B6" s="18" t="n">
        <f aca="false">'Scoring Model'!F6</f>
        <v>1.5</v>
      </c>
      <c r="C6" s="20" t="s">
        <v>23</v>
      </c>
      <c r="D6" s="20" t="s">
        <v>23</v>
      </c>
      <c r="E6" s="20" t="s">
        <v>18</v>
      </c>
      <c r="F6" s="20" t="s">
        <v>23</v>
      </c>
      <c r="G6" s="20" t="s">
        <v>23</v>
      </c>
      <c r="H6" s="14" t="n">
        <f aca="false">IF(C6="N/A",0,IF('Scoring Model'!$E6="Positive",IF(C6="Yes",0,1),IF(C6="Yes",1,0)))*IF(C6="N/A",0,'Scoring Model'!$F6)</f>
        <v>0</v>
      </c>
      <c r="I6" s="14" t="n">
        <f aca="false">IF(D6="N/A",0,IF('Scoring Model'!$E6="Positive",IF(D6="Yes",0,1),IF(D6="Yes",1,0)))*IF(D6="N/A",0,'Scoring Model'!$F6)</f>
        <v>0</v>
      </c>
      <c r="J6" s="14" t="n">
        <f aca="false">IF(E6="N/A",0,IF('Scoring Model'!$E6="Positive",IF(E6="Yes",0,1),IF(E6="Yes",1,0)))*IF(E6="N/A",0,'Scoring Model'!$F6)</f>
        <v>1.5</v>
      </c>
      <c r="K6" s="14" t="n">
        <f aca="false">IF(F6="N/A",0,IF('Scoring Model'!$E6="Positive",IF(F6="Yes",0,1),IF(F6="Yes",1,0)))*IF(F6="N/A",0,'Scoring Model'!$F6)</f>
        <v>0</v>
      </c>
      <c r="L6" s="14" t="n">
        <f aca="false">IF(G6="N/A",0,IF('Scoring Model'!$E6="Positive",IF(G6="Yes",0,1),IF(G6="Yes",1,0)))*IF(G6="N/A",0,'Scoring Model'!$F6)</f>
        <v>0</v>
      </c>
      <c r="M6" s="14" t="n">
        <f aca="false">IF(C6="N/A",0,'Scoring Model'!$F6)</f>
        <v>1.5</v>
      </c>
      <c r="N6" s="14" t="n">
        <f aca="false">IF(D6="N/A",0,'Scoring Model'!$F6)</f>
        <v>1.5</v>
      </c>
      <c r="O6" s="14" t="n">
        <f aca="false">IF(E6="N/A",0,'Scoring Model'!$F6)</f>
        <v>1.5</v>
      </c>
      <c r="P6" s="14" t="n">
        <f aca="false">IF(F6="N/A",0,'Scoring Model'!$F6)</f>
        <v>1.5</v>
      </c>
      <c r="Q6" s="14" t="n">
        <f aca="false">IF(G6="N/A",0,'Scoring Model'!$F6)</f>
        <v>1.5</v>
      </c>
    </row>
    <row r="7" customFormat="false" ht="15" hidden="false" customHeight="false" outlineLevel="0" collapsed="false">
      <c r="A7" s="18" t="s">
        <v>26</v>
      </c>
      <c r="B7" s="18" t="n">
        <f aca="false">'Scoring Model'!F7</f>
        <v>6</v>
      </c>
      <c r="C7" s="20" t="s">
        <v>18</v>
      </c>
      <c r="D7" s="20" t="s">
        <v>18</v>
      </c>
      <c r="E7" s="20" t="s">
        <v>18</v>
      </c>
      <c r="F7" s="20" t="s">
        <v>18</v>
      </c>
      <c r="G7" s="20" t="s">
        <v>18</v>
      </c>
      <c r="H7" s="14" t="n">
        <f aca="false">IF(C7="N/A",0,IF('Scoring Model'!$E7="Positive",IF(C7="Yes",0,1),IF(C7="Yes",1,0)))*IF(C7="N/A",0,'Scoring Model'!$F7)</f>
        <v>0</v>
      </c>
      <c r="I7" s="14" t="n">
        <f aca="false">IF(D7="N/A",0,IF('Scoring Model'!$E7="Positive",IF(D7="Yes",0,1),IF(D7="Yes",1,0)))*IF(D7="N/A",0,'Scoring Model'!$F7)</f>
        <v>0</v>
      </c>
      <c r="J7" s="14" t="n">
        <f aca="false">IF(E7="N/A",0,IF('Scoring Model'!$E7="Positive",IF(E7="Yes",0,1),IF(E7="Yes",1,0)))*IF(E7="N/A",0,'Scoring Model'!$F7)</f>
        <v>0</v>
      </c>
      <c r="K7" s="14" t="n">
        <f aca="false">IF(F7="N/A",0,IF('Scoring Model'!$E7="Positive",IF(F7="Yes",0,1),IF(F7="Yes",1,0)))*IF(F7="N/A",0,'Scoring Model'!$F7)</f>
        <v>0</v>
      </c>
      <c r="L7" s="14" t="n">
        <f aca="false">IF(G7="N/A",0,IF('Scoring Model'!$E7="Positive",IF(G7="Yes",0,1),IF(G7="Yes",1,0)))*IF(G7="N/A",0,'Scoring Model'!$F7)</f>
        <v>0</v>
      </c>
      <c r="M7" s="14" t="n">
        <f aca="false">IF(C7="N/A",0,'Scoring Model'!$F7)</f>
        <v>6</v>
      </c>
      <c r="N7" s="14" t="n">
        <f aca="false">IF(D7="N/A",0,'Scoring Model'!$F7)</f>
        <v>6</v>
      </c>
      <c r="O7" s="14" t="n">
        <f aca="false">IF(E7="N/A",0,'Scoring Model'!$F7)</f>
        <v>6</v>
      </c>
      <c r="P7" s="14" t="n">
        <f aca="false">IF(F7="N/A",0,'Scoring Model'!$F7)</f>
        <v>6</v>
      </c>
      <c r="Q7" s="14" t="n">
        <f aca="false">IF(G7="N/A",0,'Scoring Model'!$F7)</f>
        <v>6</v>
      </c>
    </row>
    <row r="8" customFormat="false" ht="15" hidden="false" customHeight="false" outlineLevel="0" collapsed="false">
      <c r="A8" s="18" t="s">
        <v>29</v>
      </c>
      <c r="B8" s="18" t="n">
        <f aca="false">'Scoring Model'!F8</f>
        <v>12</v>
      </c>
      <c r="C8" s="20" t="s">
        <v>18</v>
      </c>
      <c r="D8" s="20" t="s">
        <v>18</v>
      </c>
      <c r="E8" s="21" t="s">
        <v>23</v>
      </c>
      <c r="F8" s="20" t="s">
        <v>18</v>
      </c>
      <c r="G8" s="20" t="s">
        <v>18</v>
      </c>
      <c r="H8" s="14" t="n">
        <f aca="false">IF(C8="N/A",0,IF('Scoring Model'!$E8="Positive",IF(C8="Yes",0,1),IF(C8="Yes",1,0)))*IF(C8="N/A",0,'Scoring Model'!$F8)</f>
        <v>0</v>
      </c>
      <c r="I8" s="14" t="n">
        <f aca="false">IF(D8="N/A",0,IF('Scoring Model'!$E8="Positive",IF(D8="Yes",0,1),IF(D8="Yes",1,0)))*IF(D8="N/A",0,'Scoring Model'!$F8)</f>
        <v>0</v>
      </c>
      <c r="J8" s="14" t="n">
        <f aca="false">IF(E8="N/A",0,IF('Scoring Model'!$E8="Positive",IF(E8="Yes",0,1),IF(E8="Yes",1,0)))*IF(E8="N/A",0,'Scoring Model'!$F8)</f>
        <v>12</v>
      </c>
      <c r="K8" s="14" t="n">
        <f aca="false">IF(F8="N/A",0,IF('Scoring Model'!$E8="Positive",IF(F8="Yes",0,1),IF(F8="Yes",1,0)))*IF(F8="N/A",0,'Scoring Model'!$F8)</f>
        <v>0</v>
      </c>
      <c r="L8" s="14" t="n">
        <f aca="false">IF(G8="N/A",0,IF('Scoring Model'!$E8="Positive",IF(G8="Yes",0,1),IF(G8="Yes",1,0)))*IF(G8="N/A",0,'Scoring Model'!$F8)</f>
        <v>0</v>
      </c>
      <c r="M8" s="14" t="n">
        <f aca="false">IF(C8="N/A",0,'Scoring Model'!$F8)</f>
        <v>12</v>
      </c>
      <c r="N8" s="14" t="n">
        <f aca="false">IF(D8="N/A",0,'Scoring Model'!$F8)</f>
        <v>12</v>
      </c>
      <c r="O8" s="14" t="n">
        <f aca="false">IF(E8="N/A",0,'Scoring Model'!$F8)</f>
        <v>12</v>
      </c>
      <c r="P8" s="14" t="n">
        <f aca="false">IF(F8="N/A",0,'Scoring Model'!$F8)</f>
        <v>12</v>
      </c>
      <c r="Q8" s="14" t="n">
        <f aca="false">IF(G8="N/A",0,'Scoring Model'!$F8)</f>
        <v>12</v>
      </c>
    </row>
    <row r="9" customFormat="false" ht="15" hidden="false" customHeight="false" outlineLevel="0" collapsed="false">
      <c r="A9" s="18" t="s">
        <v>33</v>
      </c>
      <c r="B9" s="18" t="n">
        <f aca="false">'Scoring Model'!F9</f>
        <v>18</v>
      </c>
      <c r="C9" s="20" t="s">
        <v>23</v>
      </c>
      <c r="D9" s="20" t="s">
        <v>23</v>
      </c>
      <c r="E9" s="20" t="s">
        <v>23</v>
      </c>
      <c r="F9" s="21" t="s">
        <v>18</v>
      </c>
      <c r="G9" s="20" t="s">
        <v>23</v>
      </c>
      <c r="H9" s="14" t="n">
        <f aca="false">IF(C9="N/A",0,IF('Scoring Model'!$E9="Positive",IF(C9="Yes",0,1),IF(C9="Yes",1,0)))*IF(C9="N/A",0,'Scoring Model'!$F9)</f>
        <v>0</v>
      </c>
      <c r="I9" s="14" t="n">
        <f aca="false">IF(D9="N/A",0,IF('Scoring Model'!$E9="Positive",IF(D9="Yes",0,1),IF(D9="Yes",1,0)))*IF(D9="N/A",0,'Scoring Model'!$F9)</f>
        <v>0</v>
      </c>
      <c r="J9" s="14" t="n">
        <f aca="false">IF(E9="N/A",0,IF('Scoring Model'!$E9="Positive",IF(E9="Yes",0,1),IF(E9="Yes",1,0)))*IF(E9="N/A",0,'Scoring Model'!$F9)</f>
        <v>0</v>
      </c>
      <c r="K9" s="14" t="n">
        <f aca="false">IF(F9="N/A",0,IF('Scoring Model'!$E9="Positive",IF(F9="Yes",0,1),IF(F9="Yes",1,0)))*IF(F9="N/A",0,'Scoring Model'!$F9)</f>
        <v>18</v>
      </c>
      <c r="L9" s="14" t="n">
        <f aca="false">IF(G9="N/A",0,IF('Scoring Model'!$E9="Positive",IF(G9="Yes",0,1),IF(G9="Yes",1,0)))*IF(G9="N/A",0,'Scoring Model'!$F9)</f>
        <v>0</v>
      </c>
      <c r="M9" s="14" t="n">
        <f aca="false">IF(C9="N/A",0,'Scoring Model'!$F9)</f>
        <v>18</v>
      </c>
      <c r="N9" s="14" t="n">
        <f aca="false">IF(D9="N/A",0,'Scoring Model'!$F9)</f>
        <v>18</v>
      </c>
      <c r="O9" s="14" t="n">
        <f aca="false">IF(E9="N/A",0,'Scoring Model'!$F9)</f>
        <v>18</v>
      </c>
      <c r="P9" s="14" t="n">
        <f aca="false">IF(F9="N/A",0,'Scoring Model'!$F9)</f>
        <v>18</v>
      </c>
      <c r="Q9" s="14" t="n">
        <f aca="false">IF(G9="N/A",0,'Scoring Model'!$F9)</f>
        <v>18</v>
      </c>
    </row>
    <row r="10" customFormat="false" ht="15" hidden="false" customHeight="false" outlineLevel="0" collapsed="false">
      <c r="A10" s="18" t="s">
        <v>36</v>
      </c>
      <c r="B10" s="18" t="n">
        <f aca="false">'Scoring Model'!F10</f>
        <v>8</v>
      </c>
      <c r="C10" s="20" t="s">
        <v>23</v>
      </c>
      <c r="D10" s="20" t="s">
        <v>23</v>
      </c>
      <c r="E10" s="21" t="s">
        <v>18</v>
      </c>
      <c r="F10" s="20" t="s">
        <v>23</v>
      </c>
      <c r="G10" s="20" t="s">
        <v>23</v>
      </c>
      <c r="H10" s="14" t="n">
        <f aca="false">IF(C10="N/A",0,IF('Scoring Model'!$E10="Positive",IF(C10="Yes",0,1),IF(C10="Yes",1,0)))*IF(C10="N/A",0,'Scoring Model'!$F10)</f>
        <v>0</v>
      </c>
      <c r="I10" s="14" t="n">
        <f aca="false">IF(D10="N/A",0,IF('Scoring Model'!$E10="Positive",IF(D10="Yes",0,1),IF(D10="Yes",1,0)))*IF(D10="N/A",0,'Scoring Model'!$F10)</f>
        <v>0</v>
      </c>
      <c r="J10" s="14" t="n">
        <f aca="false">IF(E10="N/A",0,IF('Scoring Model'!$E10="Positive",IF(E10="Yes",0,1),IF(E10="Yes",1,0)))*IF(E10="N/A",0,'Scoring Model'!$F10)</f>
        <v>8</v>
      </c>
      <c r="K10" s="14" t="n">
        <f aca="false">IF(F10="N/A",0,IF('Scoring Model'!$E10="Positive",IF(F10="Yes",0,1),IF(F10="Yes",1,0)))*IF(F10="N/A",0,'Scoring Model'!$F10)</f>
        <v>0</v>
      </c>
      <c r="L10" s="14" t="n">
        <f aca="false">IF(G10="N/A",0,IF('Scoring Model'!$E10="Positive",IF(G10="Yes",0,1),IF(G10="Yes",1,0)))*IF(G10="N/A",0,'Scoring Model'!$F10)</f>
        <v>0</v>
      </c>
      <c r="M10" s="14" t="n">
        <f aca="false">IF(C10="N/A",0,'Scoring Model'!$F10)</f>
        <v>8</v>
      </c>
      <c r="N10" s="14" t="n">
        <f aca="false">IF(D10="N/A",0,'Scoring Model'!$F10)</f>
        <v>8</v>
      </c>
      <c r="O10" s="14" t="n">
        <f aca="false">IF(E10="N/A",0,'Scoring Model'!$F10)</f>
        <v>8</v>
      </c>
      <c r="P10" s="14" t="n">
        <f aca="false">IF(F10="N/A",0,'Scoring Model'!$F10)</f>
        <v>8</v>
      </c>
      <c r="Q10" s="14" t="n">
        <f aca="false">IF(G10="N/A",0,'Scoring Model'!$F10)</f>
        <v>8</v>
      </c>
    </row>
    <row r="11" customFormat="false" ht="15" hidden="false" customHeight="false" outlineLevel="0" collapsed="false">
      <c r="A11" s="18" t="s">
        <v>40</v>
      </c>
      <c r="B11" s="18" t="n">
        <f aca="false">'Scoring Model'!F11</f>
        <v>10</v>
      </c>
      <c r="C11" s="20" t="s">
        <v>23</v>
      </c>
      <c r="D11" s="20" t="s">
        <v>23</v>
      </c>
      <c r="E11" s="20" t="s">
        <v>23</v>
      </c>
      <c r="F11" s="20" t="s">
        <v>18</v>
      </c>
      <c r="G11" s="20" t="s">
        <v>23</v>
      </c>
      <c r="H11" s="14" t="n">
        <f aca="false">IF(C11="N/A",0,IF('Scoring Model'!$E11="Positive",IF(C11="Yes",0,1),IF(C11="Yes",1,0)))*IF(C11="N/A",0,'Scoring Model'!$F11)</f>
        <v>0</v>
      </c>
      <c r="I11" s="14" t="n">
        <f aca="false">IF(D11="N/A",0,IF('Scoring Model'!$E11="Positive",IF(D11="Yes",0,1),IF(D11="Yes",1,0)))*IF(D11="N/A",0,'Scoring Model'!$F11)</f>
        <v>0</v>
      </c>
      <c r="J11" s="14" t="n">
        <f aca="false">IF(E11="N/A",0,IF('Scoring Model'!$E11="Positive",IF(E11="Yes",0,1),IF(E11="Yes",1,0)))*IF(E11="N/A",0,'Scoring Model'!$F11)</f>
        <v>0</v>
      </c>
      <c r="K11" s="14" t="n">
        <f aca="false">IF(F11="N/A",0,IF('Scoring Model'!$E11="Positive",IF(F11="Yes",0,1),IF(F11="Yes",1,0)))*IF(F11="N/A",0,'Scoring Model'!$F11)</f>
        <v>10</v>
      </c>
      <c r="L11" s="14" t="n">
        <f aca="false">IF(G11="N/A",0,IF('Scoring Model'!$E11="Positive",IF(G11="Yes",0,1),IF(G11="Yes",1,0)))*IF(G11="N/A",0,'Scoring Model'!$F11)</f>
        <v>0</v>
      </c>
      <c r="M11" s="14" t="n">
        <f aca="false">IF(C11="N/A",0,'Scoring Model'!$F11)</f>
        <v>10</v>
      </c>
      <c r="N11" s="14" t="n">
        <f aca="false">IF(D11="N/A",0,'Scoring Model'!$F11)</f>
        <v>10</v>
      </c>
      <c r="O11" s="14" t="n">
        <f aca="false">IF(E11="N/A",0,'Scoring Model'!$F11)</f>
        <v>10</v>
      </c>
      <c r="P11" s="14" t="n">
        <f aca="false">IF(F11="N/A",0,'Scoring Model'!$F11)</f>
        <v>10</v>
      </c>
      <c r="Q11" s="14" t="n">
        <f aca="false">IF(G11="N/A",0,'Scoring Model'!$F11)</f>
        <v>10</v>
      </c>
    </row>
    <row r="12" customFormat="false" ht="15" hidden="false" customHeight="false" outlineLevel="0" collapsed="false">
      <c r="A12" s="18" t="s">
        <v>43</v>
      </c>
      <c r="B12" s="18" t="n">
        <f aca="false">'Scoring Model'!F12</f>
        <v>6</v>
      </c>
      <c r="C12" s="20" t="s">
        <v>23</v>
      </c>
      <c r="D12" s="20" t="s">
        <v>23</v>
      </c>
      <c r="E12" s="20" t="s">
        <v>23</v>
      </c>
      <c r="F12" s="20" t="s">
        <v>18</v>
      </c>
      <c r="G12" s="20" t="s">
        <v>23</v>
      </c>
      <c r="H12" s="14" t="n">
        <f aca="false">IF(C12="N/A",0,IF('Scoring Model'!$E12="Positive",IF(C12="Yes",0,1),IF(C12="Yes",1,0)))*IF(C12="N/A",0,'Scoring Model'!$F12)</f>
        <v>0</v>
      </c>
      <c r="I12" s="14" t="n">
        <f aca="false">IF(D12="N/A",0,IF('Scoring Model'!$E12="Positive",IF(D12="Yes",0,1),IF(D12="Yes",1,0)))*IF(D12="N/A",0,'Scoring Model'!$F12)</f>
        <v>0</v>
      </c>
      <c r="J12" s="14" t="n">
        <f aca="false">IF(E12="N/A",0,IF('Scoring Model'!$E12="Positive",IF(E12="Yes",0,1),IF(E12="Yes",1,0)))*IF(E12="N/A",0,'Scoring Model'!$F12)</f>
        <v>0</v>
      </c>
      <c r="K12" s="14" t="n">
        <f aca="false">IF(F12="N/A",0,IF('Scoring Model'!$E12="Positive",IF(F12="Yes",0,1),IF(F12="Yes",1,0)))*IF(F12="N/A",0,'Scoring Model'!$F12)</f>
        <v>6</v>
      </c>
      <c r="L12" s="14" t="n">
        <f aca="false">IF(G12="N/A",0,IF('Scoring Model'!$E12="Positive",IF(G12="Yes",0,1),IF(G12="Yes",1,0)))*IF(G12="N/A",0,'Scoring Model'!$F12)</f>
        <v>0</v>
      </c>
      <c r="M12" s="14" t="n">
        <f aca="false">IF(C12="N/A",0,'Scoring Model'!$F12)</f>
        <v>6</v>
      </c>
      <c r="N12" s="14" t="n">
        <f aca="false">IF(D12="N/A",0,'Scoring Model'!$F12)</f>
        <v>6</v>
      </c>
      <c r="O12" s="14" t="n">
        <f aca="false">IF(E12="N/A",0,'Scoring Model'!$F12)</f>
        <v>6</v>
      </c>
      <c r="P12" s="14" t="n">
        <f aca="false">IF(F12="N/A",0,'Scoring Model'!$F12)</f>
        <v>6</v>
      </c>
      <c r="Q12" s="14" t="n">
        <f aca="false">IF(G12="N/A",0,'Scoring Model'!$F12)</f>
        <v>6</v>
      </c>
    </row>
    <row r="13" customFormat="false" ht="15" hidden="false" customHeight="false" outlineLevel="0" collapsed="false">
      <c r="A13" s="18" t="s">
        <v>47</v>
      </c>
      <c r="B13" s="18" t="n">
        <f aca="false">'Scoring Model'!F13</f>
        <v>5</v>
      </c>
      <c r="C13" s="20" t="s">
        <v>18</v>
      </c>
      <c r="D13" s="20" t="s">
        <v>18</v>
      </c>
      <c r="E13" s="20" t="s">
        <v>18</v>
      </c>
      <c r="F13" s="20" t="s">
        <v>18</v>
      </c>
      <c r="G13" s="20" t="s">
        <v>18</v>
      </c>
      <c r="H13" s="14" t="n">
        <f aca="false">IF(C13="N/A",0,IF('Scoring Model'!$E13="Positive",IF(C13="Yes",0,1),IF(C13="Yes",1,0)))*IF(C13="N/A",0,'Scoring Model'!$F13)</f>
        <v>5</v>
      </c>
      <c r="I13" s="14" t="n">
        <f aca="false">IF(D13="N/A",0,IF('Scoring Model'!$E13="Positive",IF(D13="Yes",0,1),IF(D13="Yes",1,0)))*IF(D13="N/A",0,'Scoring Model'!$F13)</f>
        <v>5</v>
      </c>
      <c r="J13" s="14" t="n">
        <f aca="false">IF(E13="N/A",0,IF('Scoring Model'!$E13="Positive",IF(E13="Yes",0,1),IF(E13="Yes",1,0)))*IF(E13="N/A",0,'Scoring Model'!$F13)</f>
        <v>5</v>
      </c>
      <c r="K13" s="14" t="n">
        <f aca="false">IF(F13="N/A",0,IF('Scoring Model'!$E13="Positive",IF(F13="Yes",0,1),IF(F13="Yes",1,0)))*IF(F13="N/A",0,'Scoring Model'!$F13)</f>
        <v>5</v>
      </c>
      <c r="L13" s="14" t="n">
        <f aca="false">IF(G13="N/A",0,IF('Scoring Model'!$E13="Positive",IF(G13="Yes",0,1),IF(G13="Yes",1,0)))*IF(G13="N/A",0,'Scoring Model'!$F13)</f>
        <v>5</v>
      </c>
      <c r="M13" s="14" t="n">
        <f aca="false">IF(C13="N/A",0,'Scoring Model'!$F13)</f>
        <v>5</v>
      </c>
      <c r="N13" s="14" t="n">
        <f aca="false">IF(D13="N/A",0,'Scoring Model'!$F13)</f>
        <v>5</v>
      </c>
      <c r="O13" s="14" t="n">
        <f aca="false">IF(E13="N/A",0,'Scoring Model'!$F13)</f>
        <v>5</v>
      </c>
      <c r="P13" s="14" t="n">
        <f aca="false">IF(F13="N/A",0,'Scoring Model'!$F13)</f>
        <v>5</v>
      </c>
      <c r="Q13" s="14" t="n">
        <f aca="false">IF(G13="N/A",0,'Scoring Model'!$F13)</f>
        <v>5</v>
      </c>
    </row>
    <row r="14" customFormat="false" ht="15" hidden="false" customHeight="false" outlineLevel="0" collapsed="false">
      <c r="A14" s="18" t="s">
        <v>50</v>
      </c>
      <c r="B14" s="18" t="n">
        <f aca="false">'Scoring Model'!F14</f>
        <v>9</v>
      </c>
      <c r="C14" s="20" t="s">
        <v>23</v>
      </c>
      <c r="D14" s="20" t="s">
        <v>23</v>
      </c>
      <c r="E14" s="20" t="s">
        <v>23</v>
      </c>
      <c r="F14" s="20" t="s">
        <v>18</v>
      </c>
      <c r="G14" s="20" t="s">
        <v>23</v>
      </c>
      <c r="H14" s="14" t="n">
        <f aca="false">IF(C14="N/A",0,IF('Scoring Model'!$E14="Positive",IF(C14="Yes",0,1),IF(C14="Yes",1,0)))*IF(C14="N/A",0,'Scoring Model'!$F14)</f>
        <v>0</v>
      </c>
      <c r="I14" s="14" t="n">
        <f aca="false">IF(D14="N/A",0,IF('Scoring Model'!$E14="Positive",IF(D14="Yes",0,1),IF(D14="Yes",1,0)))*IF(D14="N/A",0,'Scoring Model'!$F14)</f>
        <v>0</v>
      </c>
      <c r="J14" s="14" t="n">
        <f aca="false">IF(E14="N/A",0,IF('Scoring Model'!$E14="Positive",IF(E14="Yes",0,1),IF(E14="Yes",1,0)))*IF(E14="N/A",0,'Scoring Model'!$F14)</f>
        <v>0</v>
      </c>
      <c r="K14" s="14" t="n">
        <f aca="false">IF(F14="N/A",0,IF('Scoring Model'!$E14="Positive",IF(F14="Yes",0,1),IF(F14="Yes",1,0)))*IF(F14="N/A",0,'Scoring Model'!$F14)</f>
        <v>9</v>
      </c>
      <c r="L14" s="14" t="n">
        <f aca="false">IF(G14="N/A",0,IF('Scoring Model'!$E14="Positive",IF(G14="Yes",0,1),IF(G14="Yes",1,0)))*IF(G14="N/A",0,'Scoring Model'!$F14)</f>
        <v>0</v>
      </c>
      <c r="M14" s="14" t="n">
        <f aca="false">IF(C14="N/A",0,'Scoring Model'!$F14)</f>
        <v>9</v>
      </c>
      <c r="N14" s="14" t="n">
        <f aca="false">IF(D14="N/A",0,'Scoring Model'!$F14)</f>
        <v>9</v>
      </c>
      <c r="O14" s="14" t="n">
        <f aca="false">IF(E14="N/A",0,'Scoring Model'!$F14)</f>
        <v>9</v>
      </c>
      <c r="P14" s="14" t="n">
        <f aca="false">IF(F14="N/A",0,'Scoring Model'!$F14)</f>
        <v>9</v>
      </c>
      <c r="Q14" s="14" t="n">
        <f aca="false">IF(G14="N/A",0,'Scoring Model'!$F14)</f>
        <v>9</v>
      </c>
    </row>
    <row r="15" customFormat="false" ht="15" hidden="false" customHeight="false" outlineLevel="0" collapsed="false">
      <c r="A15" s="18" t="s">
        <v>54</v>
      </c>
      <c r="B15" s="18" t="n">
        <f aca="false">'Scoring Model'!F15</f>
        <v>5</v>
      </c>
      <c r="C15" s="20" t="s">
        <v>23</v>
      </c>
      <c r="D15" s="20" t="s">
        <v>18</v>
      </c>
      <c r="E15" s="20" t="s">
        <v>23</v>
      </c>
      <c r="F15" s="20" t="s">
        <v>18</v>
      </c>
      <c r="G15" s="20" t="s">
        <v>23</v>
      </c>
      <c r="H15" s="14" t="n">
        <f aca="false">IF(C15="N/A",0,IF('Scoring Model'!$E15="Positive",IF(C15="Yes",0,1),IF(C15="Yes",1,0)))*IF(C15="N/A",0,'Scoring Model'!$F15)</f>
        <v>5</v>
      </c>
      <c r="I15" s="14" t="n">
        <f aca="false">IF(D15="N/A",0,IF('Scoring Model'!$E15="Positive",IF(D15="Yes",0,1),IF(D15="Yes",1,0)))*IF(D15="N/A",0,'Scoring Model'!$F15)</f>
        <v>0</v>
      </c>
      <c r="J15" s="14" t="n">
        <f aca="false">IF(E15="N/A",0,IF('Scoring Model'!$E15="Positive",IF(E15="Yes",0,1),IF(E15="Yes",1,0)))*IF(E15="N/A",0,'Scoring Model'!$F15)</f>
        <v>5</v>
      </c>
      <c r="K15" s="14" t="n">
        <f aca="false">IF(F15="N/A",0,IF('Scoring Model'!$E15="Positive",IF(F15="Yes",0,1),IF(F15="Yes",1,0)))*IF(F15="N/A",0,'Scoring Model'!$F15)</f>
        <v>0</v>
      </c>
      <c r="L15" s="14" t="n">
        <f aca="false">IF(G15="N/A",0,IF('Scoring Model'!$E15="Positive",IF(G15="Yes",0,1),IF(G15="Yes",1,0)))*IF(G15="N/A",0,'Scoring Model'!$F15)</f>
        <v>5</v>
      </c>
      <c r="M15" s="14" t="n">
        <f aca="false">IF(C15="N/A",0,'Scoring Model'!$F15)</f>
        <v>5</v>
      </c>
      <c r="N15" s="14" t="n">
        <f aca="false">IF(D15="N/A",0,'Scoring Model'!$F15)</f>
        <v>5</v>
      </c>
      <c r="O15" s="14" t="n">
        <f aca="false">IF(E15="N/A",0,'Scoring Model'!$F15)</f>
        <v>5</v>
      </c>
      <c r="P15" s="14" t="n">
        <f aca="false">IF(F15="N/A",0,'Scoring Model'!$F15)</f>
        <v>5</v>
      </c>
      <c r="Q15" s="14" t="n">
        <f aca="false">IF(G15="N/A",0,'Scoring Model'!$F15)</f>
        <v>5</v>
      </c>
    </row>
    <row r="16" customFormat="false" ht="15" hidden="false" customHeight="false" outlineLevel="0" collapsed="false">
      <c r="A16" s="18" t="s">
        <v>57</v>
      </c>
      <c r="B16" s="18" t="n">
        <f aca="false">'Scoring Model'!F16</f>
        <v>3</v>
      </c>
      <c r="C16" s="20" t="s">
        <v>59</v>
      </c>
      <c r="D16" s="20" t="s">
        <v>18</v>
      </c>
      <c r="E16" s="20" t="s">
        <v>59</v>
      </c>
      <c r="F16" s="20" t="s">
        <v>18</v>
      </c>
      <c r="G16" s="20" t="s">
        <v>59</v>
      </c>
      <c r="H16" s="14" t="n">
        <f aca="false">IF(C16="N/A",0,IF('Scoring Model'!$E16="Positive",IF(C16="Yes",0,1),IF(C16="Yes",1,0)))*IF(C16="N/A",0,'Scoring Model'!$F16)</f>
        <v>0</v>
      </c>
      <c r="I16" s="14" t="n">
        <f aca="false">IF(D16="N/A",0,IF('Scoring Model'!$E16="Positive",IF(D16="Yes",0,1),IF(D16="Yes",1,0)))*IF(D16="N/A",0,'Scoring Model'!$F16)</f>
        <v>0</v>
      </c>
      <c r="J16" s="14" t="n">
        <f aca="false">IF(E16="N/A",0,IF('Scoring Model'!$E16="Positive",IF(E16="Yes",0,1),IF(E16="Yes",1,0)))*IF(E16="N/A",0,'Scoring Model'!$F16)</f>
        <v>0</v>
      </c>
      <c r="K16" s="14" t="n">
        <f aca="false">IF(F16="N/A",0,IF('Scoring Model'!$E16="Positive",IF(F16="Yes",0,1),IF(F16="Yes",1,0)))*IF(F16="N/A",0,'Scoring Model'!$F16)</f>
        <v>0</v>
      </c>
      <c r="L16" s="14" t="n">
        <f aca="false">IF(G16="N/A",0,IF('Scoring Model'!$E16="Positive",IF(G16="Yes",0,1),IF(G16="Yes",1,0)))*IF(G16="N/A",0,'Scoring Model'!$F16)</f>
        <v>0</v>
      </c>
      <c r="M16" s="14" t="n">
        <f aca="false">IF(C16="N/A",0,'Scoring Model'!$F16)</f>
        <v>0</v>
      </c>
      <c r="N16" s="14" t="n">
        <f aca="false">IF(D16="N/A",0,'Scoring Model'!$F16)</f>
        <v>3</v>
      </c>
      <c r="O16" s="14" t="n">
        <f aca="false">IF(E16="N/A",0,'Scoring Model'!$F16)</f>
        <v>0</v>
      </c>
      <c r="P16" s="14" t="n">
        <f aca="false">IF(F16="N/A",0,'Scoring Model'!$F16)</f>
        <v>3</v>
      </c>
      <c r="Q16" s="14" t="n">
        <f aca="false">IF(G16="N/A",0,'Scoring Model'!$F16)</f>
        <v>0</v>
      </c>
    </row>
    <row r="17" customFormat="false" ht="15" hidden="false" customHeight="false" outlineLevel="0" collapsed="false">
      <c r="A17" s="18" t="s">
        <v>62</v>
      </c>
      <c r="B17" s="18" t="n">
        <f aca="false">'Scoring Model'!F17</f>
        <v>5</v>
      </c>
      <c r="C17" s="20" t="s">
        <v>23</v>
      </c>
      <c r="D17" s="20" t="s">
        <v>23</v>
      </c>
      <c r="E17" s="20" t="s">
        <v>23</v>
      </c>
      <c r="F17" s="20" t="s">
        <v>18</v>
      </c>
      <c r="G17" s="20" t="s">
        <v>23</v>
      </c>
      <c r="H17" s="14" t="n">
        <f aca="false">IF(C17="N/A",0,IF('Scoring Model'!$E17="Positive",IF(C17="Yes",0,1),IF(C17="Yes",1,0)))*IF(C17="N/A",0,'Scoring Model'!$F17)</f>
        <v>0</v>
      </c>
      <c r="I17" s="14" t="n">
        <f aca="false">IF(D17="N/A",0,IF('Scoring Model'!$E17="Positive",IF(D17="Yes",0,1),IF(D17="Yes",1,0)))*IF(D17="N/A",0,'Scoring Model'!$F17)</f>
        <v>0</v>
      </c>
      <c r="J17" s="14" t="n">
        <f aca="false">IF(E17="N/A",0,IF('Scoring Model'!$E17="Positive",IF(E17="Yes",0,1),IF(E17="Yes",1,0)))*IF(E17="N/A",0,'Scoring Model'!$F17)</f>
        <v>0</v>
      </c>
      <c r="K17" s="14" t="n">
        <f aca="false">IF(F17="N/A",0,IF('Scoring Model'!$E17="Positive",IF(F17="Yes",0,1),IF(F17="Yes",1,0)))*IF(F17="N/A",0,'Scoring Model'!$F17)</f>
        <v>5</v>
      </c>
      <c r="L17" s="14" t="n">
        <f aca="false">IF(G17="N/A",0,IF('Scoring Model'!$E17="Positive",IF(G17="Yes",0,1),IF(G17="Yes",1,0)))*IF(G17="N/A",0,'Scoring Model'!$F17)</f>
        <v>0</v>
      </c>
      <c r="M17" s="14" t="n">
        <f aca="false">IF(C17="N/A",0,'Scoring Model'!$F17)</f>
        <v>5</v>
      </c>
      <c r="N17" s="14" t="n">
        <f aca="false">IF(D17="N/A",0,'Scoring Model'!$F17)</f>
        <v>5</v>
      </c>
      <c r="O17" s="14" t="n">
        <f aca="false">IF(E17="N/A",0,'Scoring Model'!$F17)</f>
        <v>5</v>
      </c>
      <c r="P17" s="14" t="n">
        <f aca="false">IF(F17="N/A",0,'Scoring Model'!$F17)</f>
        <v>5</v>
      </c>
      <c r="Q17" s="14" t="n">
        <f aca="false">IF(G17="N/A",0,'Scoring Model'!$F17)</f>
        <v>5</v>
      </c>
    </row>
    <row r="18" customFormat="false" ht="15" hidden="false" customHeight="false" outlineLevel="0" collapsed="false">
      <c r="A18" s="18" t="s">
        <v>65</v>
      </c>
      <c r="B18" s="18" t="n">
        <f aca="false">'Scoring Model'!F18</f>
        <v>3</v>
      </c>
      <c r="C18" s="20" t="s">
        <v>23</v>
      </c>
      <c r="D18" s="20" t="s">
        <v>23</v>
      </c>
      <c r="E18" s="20" t="s">
        <v>23</v>
      </c>
      <c r="F18" s="20" t="s">
        <v>23</v>
      </c>
      <c r="G18" s="20" t="s">
        <v>18</v>
      </c>
      <c r="H18" s="14" t="n">
        <f aca="false">IF(C18="N/A",0,IF('Scoring Model'!$E18="Positive",IF(C18="Yes",0,1),IF(C18="Yes",1,0)))*IF(C18="N/A",0,'Scoring Model'!$F18)</f>
        <v>0</v>
      </c>
      <c r="I18" s="14" t="n">
        <f aca="false">IF(D18="N/A",0,IF('Scoring Model'!$E18="Positive",IF(D18="Yes",0,1),IF(D18="Yes",1,0)))*IF(D18="N/A",0,'Scoring Model'!$F18)</f>
        <v>0</v>
      </c>
      <c r="J18" s="14" t="n">
        <f aca="false">IF(E18="N/A",0,IF('Scoring Model'!$E18="Positive",IF(E18="Yes",0,1),IF(E18="Yes",1,0)))*IF(E18="N/A",0,'Scoring Model'!$F18)</f>
        <v>0</v>
      </c>
      <c r="K18" s="14" t="n">
        <f aca="false">IF(F18="N/A",0,IF('Scoring Model'!$E18="Positive",IF(F18="Yes",0,1),IF(F18="Yes",1,0)))*IF(F18="N/A",0,'Scoring Model'!$F18)</f>
        <v>0</v>
      </c>
      <c r="L18" s="14" t="n">
        <f aca="false">IF(G18="N/A",0,IF('Scoring Model'!$E18="Positive",IF(G18="Yes",0,1),IF(G18="Yes",1,0)))*IF(G18="N/A",0,'Scoring Model'!$F18)</f>
        <v>3</v>
      </c>
      <c r="M18" s="14" t="n">
        <f aca="false">IF(C18="N/A",0,'Scoring Model'!$F18)</f>
        <v>3</v>
      </c>
      <c r="N18" s="14" t="n">
        <f aca="false">IF(D18="N/A",0,'Scoring Model'!$F18)</f>
        <v>3</v>
      </c>
      <c r="O18" s="14" t="n">
        <f aca="false">IF(E18="N/A",0,'Scoring Model'!$F18)</f>
        <v>3</v>
      </c>
      <c r="P18" s="14" t="n">
        <f aca="false">IF(F18="N/A",0,'Scoring Model'!$F18)</f>
        <v>3</v>
      </c>
      <c r="Q18" s="14" t="n">
        <f aca="false">IF(G18="N/A",0,'Scoring Model'!$F18)</f>
        <v>3</v>
      </c>
    </row>
    <row r="19" customFormat="false" ht="15" hidden="false" customHeight="false" outlineLevel="0" collapsed="false">
      <c r="A19" s="18" t="s">
        <v>69</v>
      </c>
      <c r="B19" s="18" t="n">
        <f aca="false">'Scoring Model'!F19</f>
        <v>6</v>
      </c>
      <c r="C19" s="20" t="s">
        <v>18</v>
      </c>
      <c r="D19" s="20" t="s">
        <v>18</v>
      </c>
      <c r="E19" s="20" t="s">
        <v>18</v>
      </c>
      <c r="F19" s="20" t="s">
        <v>18</v>
      </c>
      <c r="G19" s="20" t="s">
        <v>18</v>
      </c>
      <c r="H19" s="14" t="n">
        <f aca="false">IF(C19="N/A",0,IF('Scoring Model'!$E19="Positive",IF(C19="Yes",0,1),IF(C19="Yes",1,0)))*IF(C19="N/A",0,'Scoring Model'!$F19)</f>
        <v>0</v>
      </c>
      <c r="I19" s="14" t="n">
        <f aca="false">IF(D19="N/A",0,IF('Scoring Model'!$E19="Positive",IF(D19="Yes",0,1),IF(D19="Yes",1,0)))*IF(D19="N/A",0,'Scoring Model'!$F19)</f>
        <v>0</v>
      </c>
      <c r="J19" s="14" t="n">
        <f aca="false">IF(E19="N/A",0,IF('Scoring Model'!$E19="Positive",IF(E19="Yes",0,1),IF(E19="Yes",1,0)))*IF(E19="N/A",0,'Scoring Model'!$F19)</f>
        <v>0</v>
      </c>
      <c r="K19" s="14" t="n">
        <f aca="false">IF(F19="N/A",0,IF('Scoring Model'!$E19="Positive",IF(F19="Yes",0,1),IF(F19="Yes",1,0)))*IF(F19="N/A",0,'Scoring Model'!$F19)</f>
        <v>0</v>
      </c>
      <c r="L19" s="14" t="n">
        <f aca="false">IF(G19="N/A",0,IF('Scoring Model'!$E19="Positive",IF(G19="Yes",0,1),IF(G19="Yes",1,0)))*IF(G19="N/A",0,'Scoring Model'!$F19)</f>
        <v>0</v>
      </c>
      <c r="M19" s="14" t="n">
        <f aca="false">IF(C19="N/A",0,'Scoring Model'!$F19)</f>
        <v>6</v>
      </c>
      <c r="N19" s="14" t="n">
        <f aca="false">IF(D19="N/A",0,'Scoring Model'!$F19)</f>
        <v>6</v>
      </c>
      <c r="O19" s="14" t="n">
        <f aca="false">IF(E19="N/A",0,'Scoring Model'!$F19)</f>
        <v>6</v>
      </c>
      <c r="P19" s="14" t="n">
        <f aca="false">IF(F19="N/A",0,'Scoring Model'!$F19)</f>
        <v>6</v>
      </c>
      <c r="Q19" s="14" t="n">
        <f aca="false">IF(G19="N/A",0,'Scoring Model'!$F19)</f>
        <v>6</v>
      </c>
    </row>
    <row r="20" customFormat="false" ht="15" hidden="false" customHeight="false" outlineLevel="0" collapsed="false">
      <c r="A20" s="11" t="s">
        <v>76</v>
      </c>
      <c r="B20" s="10"/>
      <c r="C20" s="22" t="n">
        <f aca="false">SUM(H5:H19)</f>
        <v>10</v>
      </c>
      <c r="D20" s="22" t="n">
        <f aca="false">SUM(I5:I19)</f>
        <v>7.5</v>
      </c>
      <c r="E20" s="22" t="n">
        <f aca="false">SUM(J5:J19)</f>
        <v>31.5</v>
      </c>
      <c r="F20" s="22" t="n">
        <f aca="false">SUM(K5:K19)</f>
        <v>53</v>
      </c>
      <c r="G20" s="22" t="n">
        <f aca="false">SUM(L5:L19)</f>
        <v>15.5</v>
      </c>
    </row>
    <row r="21" customFormat="false" ht="15" hidden="false" customHeight="false" outlineLevel="0" collapsed="false">
      <c r="A21" s="11" t="s">
        <v>74</v>
      </c>
      <c r="B21" s="10"/>
      <c r="C21" s="22" t="n">
        <f aca="false">SUM(M5:M19)</f>
        <v>97</v>
      </c>
      <c r="D21" s="22" t="n">
        <f aca="false">SUM(N5:N19)</f>
        <v>100</v>
      </c>
      <c r="E21" s="22" t="n">
        <f aca="false">SUM(O5:O19)</f>
        <v>97</v>
      </c>
      <c r="F21" s="22" t="n">
        <f aca="false">SUM(P5:P19)</f>
        <v>100</v>
      </c>
      <c r="G21" s="22" t="n">
        <f aca="false">SUM(Q5:Q19)</f>
        <v>97</v>
      </c>
    </row>
    <row r="22" customFormat="false" ht="15" hidden="false" customHeight="false" outlineLevel="0" collapsed="false">
      <c r="A22" s="11" t="s">
        <v>151</v>
      </c>
      <c r="B22" s="10"/>
      <c r="C22" s="23" t="n">
        <f aca="false">IFERROR(C20/C21,0)</f>
        <v>0.103092783505155</v>
      </c>
      <c r="D22" s="23" t="n">
        <f aca="false">IFERROR(D20/D21,0)</f>
        <v>0.075</v>
      </c>
      <c r="E22" s="23" t="n">
        <f aca="false">IFERROR(E20/E21,0)</f>
        <v>0.324742268041237</v>
      </c>
      <c r="F22" s="23" t="n">
        <f aca="false">IFERROR(F20/F21,0)</f>
        <v>0.53</v>
      </c>
      <c r="G22" s="23" t="n">
        <f aca="false">IFERROR(G20/G21,0)</f>
        <v>0.15979381443299</v>
      </c>
    </row>
    <row r="23" customFormat="false" ht="15" hidden="false" customHeight="false" outlineLevel="0" collapsed="false">
      <c r="A23" s="11" t="s">
        <v>80</v>
      </c>
      <c r="B23" s="10"/>
      <c r="C23" s="24" t="n">
        <f aca="false">C22*100</f>
        <v>10.3092783505155</v>
      </c>
      <c r="D23" s="24" t="n">
        <f aca="false">D22*100</f>
        <v>7.5</v>
      </c>
      <c r="E23" s="24" t="n">
        <f aca="false">E22*100</f>
        <v>32.4742268041237</v>
      </c>
      <c r="F23" s="24" t="n">
        <f aca="false">F22*100</f>
        <v>53</v>
      </c>
      <c r="G23" s="24" t="n">
        <f aca="false">G22*100</f>
        <v>15.979381443299</v>
      </c>
    </row>
    <row r="24" customFormat="false" ht="15" hidden="false" customHeight="false" outlineLevel="0" collapsed="false">
      <c r="A24" s="11" t="s">
        <v>82</v>
      </c>
      <c r="B24" s="10"/>
      <c r="C24" s="22" t="str">
        <f aca="false">INDEX(Bands!$B$4:$B$7,MATCH(C22,Bands!$A$4:$A$7,1))</f>
        <v>Moderate</v>
      </c>
      <c r="D24" s="22" t="str">
        <f aca="false">INDEX(Bands!$B$4:$B$7,MATCH(D22,Bands!$A$4:$A$7,1))</f>
        <v>Low</v>
      </c>
      <c r="E24" s="22" t="str">
        <f aca="false">INDEX(Bands!$B$4:$B$7,MATCH(E22,Bands!$A$4:$A$7,1))</f>
        <v>Elevated</v>
      </c>
      <c r="F24" s="22" t="str">
        <f aca="false">INDEX(Bands!$B$4:$B$7,MATCH(F22,Bands!$A$4:$A$7,1))</f>
        <v>High</v>
      </c>
      <c r="G24" s="22" t="str">
        <f aca="false">INDEX(Bands!$B$4:$B$7,MATCH(G22,Bands!$A$4:$A$7,1))</f>
        <v>Moderate</v>
      </c>
    </row>
    <row r="25" customFormat="false" ht="15" hidden="false" customHeight="false" outlineLevel="0" collapsed="false">
      <c r="A25" s="11" t="s">
        <v>84</v>
      </c>
      <c r="B25" s="10"/>
      <c r="C25" s="22" t="str">
        <f aca="false">IF(SUMPRODUCT(('Scoring Model'!$K$5:$K$19=1)*(H5:H19&gt;0))&gt;0,"Yes","No")</f>
        <v>No</v>
      </c>
      <c r="D25" s="22" t="str">
        <f aca="false">IF(SUMPRODUCT(('Scoring Model'!$K$5:$K$19=1)*(I5:I19&gt;0))&gt;0,"Yes","No")</f>
        <v>No</v>
      </c>
      <c r="E25" s="22" t="str">
        <f aca="false">IF(SUMPRODUCT(('Scoring Model'!$K$5:$K$19=1)*(J5:J19&gt;0))&gt;0,"Yes","No")</f>
        <v>No</v>
      </c>
      <c r="F25" s="22" t="str">
        <f aca="false">IF(SUMPRODUCT(('Scoring Model'!$K$5:$K$19=1)*(K5:K19&gt;0))&gt;0,"Yes","No")</f>
        <v>Yes</v>
      </c>
      <c r="G25" s="22" t="str">
        <f aca="false">IF(SUMPRODUCT(('Scoring Model'!$K$5:$K$19=1)*(L5:L19&gt;0))&gt;0,"Yes","No")</f>
        <v>No</v>
      </c>
    </row>
    <row r="26" customFormat="false" ht="42" hidden="false" customHeight="true" outlineLevel="0" collapsed="false">
      <c r="A26" s="11" t="s">
        <v>86</v>
      </c>
      <c r="B26" s="10"/>
      <c r="C26" s="22" t="str">
        <f aca="false">IF(C25="Yes","Refer to committee — knockout",INDEX(Bands!$C$4:$C$7,MATCH(C22,Bands!$A$4:$A$7,1)))</f>
        <v>Approve with conditions or monitoring</v>
      </c>
      <c r="D26" s="22" t="str">
        <f aca="false">IF(D25="Yes","Refer to committee — knockout",INDEX(Bands!$C$4:$C$7,MATCH(D22,Bands!$A$4:$A$7,1)))</f>
        <v>Recommend approval</v>
      </c>
      <c r="E26" s="22" t="str">
        <f aca="false">IF(E25="Yes","Refer to committee — knockout",INDEX(Bands!$C$4:$C$7,MATCH(E22,Bands!$A$4:$A$7,1)))</f>
        <v>Refer for supervisory review</v>
      </c>
      <c r="F26" s="22" t="str">
        <f aca="false">IF(F25="Yes","Refer to committee — knockout",INDEX(Bands!$C$4:$C$7,MATCH(F22,Bands!$A$4:$A$7,1)))</f>
        <v>Refer to committee — knockout</v>
      </c>
      <c r="G26" s="22" t="str">
        <f aca="false">IF(G25="Yes","Refer to committee — knockout",INDEX(Bands!$C$4:$C$7,MATCH(G22,Bands!$A$4:$A$7,1)))</f>
        <v>Approve with conditions or monitoring</v>
      </c>
    </row>
    <row r="29" customFormat="false" ht="15" hidden="false" customHeight="false" outlineLevel="0" collapsed="false">
      <c r="A29" s="12" t="s">
        <v>152</v>
      </c>
    </row>
    <row r="30" customFormat="false" ht="15" hidden="false" customHeight="false" outlineLevel="0" collapsed="false">
      <c r="A30" s="25" t="s">
        <v>153</v>
      </c>
      <c r="B30" s="25" t="s">
        <v>4</v>
      </c>
      <c r="C30" s="25" t="s">
        <v>154</v>
      </c>
      <c r="D30" s="25" t="s">
        <v>155</v>
      </c>
      <c r="E30" s="25" t="s">
        <v>156</v>
      </c>
    </row>
    <row r="31" customFormat="false" ht="15" hidden="false" customHeight="true" outlineLevel="0" collapsed="false">
      <c r="A31" s="5" t="s">
        <v>157</v>
      </c>
      <c r="B31" s="5" t="s">
        <v>29</v>
      </c>
      <c r="C31" s="5" t="s">
        <v>18</v>
      </c>
      <c r="D31" s="5" t="s">
        <v>23</v>
      </c>
      <c r="E31" s="4" t="s">
        <v>158</v>
      </c>
      <c r="F31" s="4"/>
      <c r="G31" s="4"/>
      <c r="H31" s="4"/>
      <c r="I31" s="4"/>
    </row>
    <row r="32" customFormat="false" ht="15" hidden="false" customHeight="true" outlineLevel="0" collapsed="false">
      <c r="A32" s="5" t="s">
        <v>157</v>
      </c>
      <c r="B32" s="5" t="s">
        <v>36</v>
      </c>
      <c r="C32" s="5" t="s">
        <v>23</v>
      </c>
      <c r="D32" s="5" t="s">
        <v>18</v>
      </c>
      <c r="E32" s="4" t="s">
        <v>159</v>
      </c>
      <c r="F32" s="4"/>
      <c r="G32" s="4"/>
      <c r="H32" s="4"/>
      <c r="I32" s="4"/>
    </row>
    <row r="33" customFormat="false" ht="15" hidden="false" customHeight="true" outlineLevel="0" collapsed="false">
      <c r="A33" s="5" t="s">
        <v>160</v>
      </c>
      <c r="B33" s="5" t="s">
        <v>33</v>
      </c>
      <c r="C33" s="5" t="s">
        <v>23</v>
      </c>
      <c r="D33" s="5" t="s">
        <v>18</v>
      </c>
      <c r="E33" s="4" t="s">
        <v>161</v>
      </c>
      <c r="F33" s="4"/>
      <c r="G33" s="4"/>
      <c r="H33" s="4"/>
      <c r="I33" s="4"/>
    </row>
    <row r="35" customFormat="false" ht="15" hidden="false" customHeight="false" outlineLevel="0" collapsed="false">
      <c r="A35" s="12" t="s">
        <v>162</v>
      </c>
    </row>
    <row r="36" customFormat="false" ht="30" hidden="false" customHeight="true" outlineLevel="0" collapsed="false">
      <c r="A36" s="3" t="s">
        <v>153</v>
      </c>
      <c r="B36" s="3" t="s">
        <v>163</v>
      </c>
      <c r="C36" s="3" t="s">
        <v>164</v>
      </c>
      <c r="D36" s="3" t="s">
        <v>165</v>
      </c>
      <c r="E36" s="3" t="s">
        <v>166</v>
      </c>
      <c r="F36" s="3" t="s">
        <v>167</v>
      </c>
      <c r="G36" s="3" t="s">
        <v>168</v>
      </c>
    </row>
    <row r="37" customFormat="false" ht="15" hidden="false" customHeight="false" outlineLevel="0" collapsed="false">
      <c r="A37" s="18" t="s">
        <v>157</v>
      </c>
      <c r="B37" s="26" t="n">
        <f aca="false">(E20-J8-J10)/E21*100</f>
        <v>11.8556701030928</v>
      </c>
      <c r="C37" s="18" t="str">
        <f aca="false">INDEX(Bands!$B$4:$B$7,MATCH(B37/100,Bands!$A$4:$A$7,1))</f>
        <v>Moderate</v>
      </c>
      <c r="D37" s="18" t="s">
        <v>23</v>
      </c>
      <c r="E37" s="26" t="n">
        <f aca="false">E23</f>
        <v>32.4742268041237</v>
      </c>
      <c r="F37" s="18" t="str">
        <f aca="false">E24</f>
        <v>Elevated</v>
      </c>
      <c r="G37" s="18" t="str">
        <f aca="false">E25</f>
        <v>No</v>
      </c>
    </row>
    <row r="38" customFormat="false" ht="15" hidden="false" customHeight="false" outlineLevel="0" collapsed="false">
      <c r="A38" s="18" t="s">
        <v>160</v>
      </c>
      <c r="B38" s="26" t="n">
        <f aca="false">(F20-K9)/F21*100</f>
        <v>35</v>
      </c>
      <c r="C38" s="18" t="str">
        <f aca="false">INDEX(Bands!$B$4:$B$7,MATCH(B38/100,Bands!$A$4:$A$7,1))</f>
        <v>Elevated</v>
      </c>
      <c r="D38" s="18" t="s">
        <v>23</v>
      </c>
      <c r="E38" s="26" t="n">
        <f aca="false">F23</f>
        <v>53</v>
      </c>
      <c r="F38" s="18" t="str">
        <f aca="false">F24</f>
        <v>High</v>
      </c>
      <c r="G38" s="18" t="str">
        <f aca="false">F25</f>
        <v>Yes</v>
      </c>
    </row>
    <row r="40" customFormat="false" ht="15" hidden="false" customHeight="false" outlineLevel="0" collapsed="false">
      <c r="A40" s="12" t="s">
        <v>169</v>
      </c>
    </row>
    <row r="41" customFormat="false" ht="30" hidden="false" customHeight="true" outlineLevel="0" collapsed="false">
      <c r="A41" s="27" t="s">
        <v>170</v>
      </c>
      <c r="B41" s="27"/>
      <c r="C41" s="27"/>
      <c r="D41" s="27"/>
      <c r="E41" s="27"/>
      <c r="F41" s="27"/>
      <c r="G41" s="27"/>
      <c r="H41" s="27"/>
      <c r="I41" s="27"/>
    </row>
    <row r="42" customFormat="false" ht="15" hidden="false" customHeight="false" outlineLevel="0" collapsed="false">
      <c r="A42" s="11" t="s">
        <v>171</v>
      </c>
      <c r="B42" s="10"/>
      <c r="C42" s="11" t="str">
        <f aca="false">IF(C16="N/A","Yes","No")</f>
        <v>Yes</v>
      </c>
      <c r="D42" s="11" t="str">
        <f aca="false">IF(D16="N/A","Yes","No")</f>
        <v>No</v>
      </c>
      <c r="E42" s="11" t="str">
        <f aca="false">IF(E16="N/A","Yes","No")</f>
        <v>Yes</v>
      </c>
      <c r="F42" s="11" t="str">
        <f aca="false">IF(F16="N/A","Yes","No")</f>
        <v>No</v>
      </c>
      <c r="G42" s="11" t="str">
        <f aca="false">IF(G16="N/A","Yes","No")</f>
        <v>Yes</v>
      </c>
    </row>
    <row r="43" customFormat="false" ht="15" hidden="false" customHeight="false" outlineLevel="0" collapsed="false">
      <c r="A43" s="11" t="s">
        <v>172</v>
      </c>
      <c r="B43" s="10"/>
      <c r="C43" s="11" t="n">
        <f aca="false">C20-IF(C42="Yes",H15,0)</f>
        <v>5</v>
      </c>
      <c r="D43" s="11" t="n">
        <f aca="false">D20-IF(D42="Yes",I15,0)</f>
        <v>7.5</v>
      </c>
      <c r="E43" s="11" t="n">
        <f aca="false">E20-IF(E42="Yes",J15,0)</f>
        <v>26.5</v>
      </c>
      <c r="F43" s="11" t="n">
        <f aca="false">F20-IF(F42="Yes",K15,0)</f>
        <v>53</v>
      </c>
      <c r="G43" s="11" t="n">
        <f aca="false">G20-IF(G42="Yes",L15,0)</f>
        <v>10.5</v>
      </c>
    </row>
    <row r="44" customFormat="false" ht="15" hidden="false" customHeight="false" outlineLevel="0" collapsed="false">
      <c r="A44" s="11" t="s">
        <v>173</v>
      </c>
      <c r="B44" s="10"/>
      <c r="C44" s="11" t="n">
        <f aca="false">C21-IF(C42="Yes",M15,0)</f>
        <v>92</v>
      </c>
      <c r="D44" s="11" t="n">
        <f aca="false">D21-IF(D42="Yes",N15,0)</f>
        <v>100</v>
      </c>
      <c r="E44" s="11" t="n">
        <f aca="false">E21-IF(E42="Yes",O15,0)</f>
        <v>92</v>
      </c>
      <c r="F44" s="11" t="n">
        <f aca="false">F21-IF(F42="Yes",P15,0)</f>
        <v>100</v>
      </c>
      <c r="G44" s="11" t="n">
        <f aca="false">G21-IF(G42="Yes",Q15,0)</f>
        <v>92</v>
      </c>
    </row>
    <row r="45" customFormat="false" ht="15" hidden="false" customHeight="false" outlineLevel="0" collapsed="false">
      <c r="A45" s="11" t="s">
        <v>174</v>
      </c>
      <c r="B45" s="10"/>
      <c r="C45" s="28" t="n">
        <f aca="false">IFERROR(C43/C44,0)*100</f>
        <v>5.43478260869565</v>
      </c>
      <c r="D45" s="28" t="n">
        <f aca="false">IFERROR(D43/D44,0)*100</f>
        <v>7.5</v>
      </c>
      <c r="E45" s="28" t="n">
        <f aca="false">IFERROR(E43/E44,0)*100</f>
        <v>28.804347826087</v>
      </c>
      <c r="F45" s="28" t="n">
        <f aca="false">IFERROR(F43/F44,0)*100</f>
        <v>53</v>
      </c>
      <c r="G45" s="28" t="n">
        <f aca="false">IFERROR(G43/G44,0)*100</f>
        <v>11.4130434782609</v>
      </c>
    </row>
    <row r="46" customFormat="false" ht="15" hidden="false" customHeight="false" outlineLevel="0" collapsed="false">
      <c r="A46" s="11" t="s">
        <v>175</v>
      </c>
      <c r="B46" s="10"/>
      <c r="C46" s="11" t="str">
        <f aca="false">INDEX(Bands!$B$4:$B$7,MATCH(C45/100,Bands!$A$4:$A$7,1))</f>
        <v>Low</v>
      </c>
      <c r="D46" s="11" t="str">
        <f aca="false">INDEX(Bands!$B$4:$B$7,MATCH(D45/100,Bands!$A$4:$A$7,1))</f>
        <v>Low</v>
      </c>
      <c r="E46" s="11" t="str">
        <f aca="false">INDEX(Bands!$B$4:$B$7,MATCH(E45/100,Bands!$A$4:$A$7,1))</f>
        <v>Elevated</v>
      </c>
      <c r="F46" s="11" t="str">
        <f aca="false">INDEX(Bands!$B$4:$B$7,MATCH(F45/100,Bands!$A$4:$A$7,1))</f>
        <v>High</v>
      </c>
      <c r="G46" s="11" t="str">
        <f aca="false">INDEX(Bands!$B$4:$B$7,MATCH(G45/100,Bands!$A$4:$A$7,1))</f>
        <v>Moderate</v>
      </c>
    </row>
    <row r="47" customFormat="false" ht="15" hidden="false" customHeight="false" outlineLevel="0" collapsed="false">
      <c r="A47" s="11" t="s">
        <v>176</v>
      </c>
      <c r="B47" s="10"/>
      <c r="C47" s="29" t="n">
        <f aca="false">C45-C23</f>
        <v>-4.87449574181981</v>
      </c>
      <c r="D47" s="29" t="n">
        <f aca="false">D45-D23</f>
        <v>0</v>
      </c>
      <c r="E47" s="29" t="n">
        <f aca="false">E45-E23</f>
        <v>-3.66987897803675</v>
      </c>
      <c r="F47" s="29" t="n">
        <f aca="false">F45-F23</f>
        <v>0</v>
      </c>
      <c r="G47" s="29" t="n">
        <f aca="false">G45-G23</f>
        <v>-4.5663379650381</v>
      </c>
    </row>
  </sheetData>
  <mergeCells count="4">
    <mergeCell ref="E31:I31"/>
    <mergeCell ref="E32:I32"/>
    <mergeCell ref="E33:I33"/>
    <mergeCell ref="A41:I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84"/>
    <col collapsed="false" customWidth="true" hidden="false" outlineLevel="0" max="3" min="3" style="0" width="52"/>
  </cols>
  <sheetData>
    <row r="1" customFormat="false" ht="16.15" hidden="false" customHeight="false" outlineLevel="0" collapsed="false">
      <c r="A1" s="1" t="s">
        <v>177</v>
      </c>
    </row>
    <row r="3" customFormat="false" ht="19.5" hidden="false" customHeight="true" outlineLevel="0" collapsed="false">
      <c r="A3" s="3" t="s">
        <v>178</v>
      </c>
      <c r="B3" s="3" t="s">
        <v>179</v>
      </c>
      <c r="C3" s="3" t="s">
        <v>180</v>
      </c>
    </row>
    <row r="4" customFormat="false" ht="57.75" hidden="false" customHeight="true" outlineLevel="0" collapsed="false">
      <c r="A4" s="4" t="s">
        <v>181</v>
      </c>
      <c r="B4" s="4" t="s">
        <v>182</v>
      </c>
      <c r="C4" s="4" t="s">
        <v>183</v>
      </c>
    </row>
    <row r="5" customFormat="false" ht="57.75" hidden="false" customHeight="true" outlineLevel="0" collapsed="false">
      <c r="A5" s="4" t="s">
        <v>184</v>
      </c>
      <c r="B5" s="4" t="s">
        <v>185</v>
      </c>
      <c r="C5" s="4" t="s">
        <v>186</v>
      </c>
    </row>
    <row r="6" customFormat="false" ht="57.75" hidden="false" customHeight="true" outlineLevel="0" collapsed="false">
      <c r="A6" s="4" t="s">
        <v>187</v>
      </c>
      <c r="B6" s="4" t="s">
        <v>188</v>
      </c>
      <c r="C6" s="4" t="s">
        <v>186</v>
      </c>
    </row>
    <row r="7" customFormat="false" ht="57.75" hidden="false" customHeight="true" outlineLevel="0" collapsed="false">
      <c r="A7" s="4" t="s">
        <v>189</v>
      </c>
      <c r="B7" s="4" t="s">
        <v>190</v>
      </c>
      <c r="C7" s="4" t="s">
        <v>191</v>
      </c>
    </row>
    <row r="8" customFormat="false" ht="57.75" hidden="false" customHeight="true" outlineLevel="0" collapsed="false">
      <c r="A8" s="4" t="s">
        <v>192</v>
      </c>
      <c r="B8" s="4" t="s">
        <v>193</v>
      </c>
      <c r="C8" s="4" t="s">
        <v>186</v>
      </c>
    </row>
    <row r="9" customFormat="false" ht="57.75" hidden="false" customHeight="true" outlineLevel="0" collapsed="false">
      <c r="A9" s="4" t="s">
        <v>194</v>
      </c>
      <c r="B9" s="4" t="s">
        <v>195</v>
      </c>
      <c r="C9" s="4" t="s">
        <v>196</v>
      </c>
    </row>
    <row r="10" customFormat="false" ht="57.75" hidden="false" customHeight="true" outlineLevel="0" collapsed="false">
      <c r="A10" s="4" t="s">
        <v>197</v>
      </c>
      <c r="B10" s="4" t="s">
        <v>198</v>
      </c>
      <c r="C10" s="4" t="s">
        <v>199</v>
      </c>
    </row>
    <row r="12" customFormat="false" ht="15" hidden="false" customHeight="false" outlineLevel="0" collapsed="false">
      <c r="A12" s="12" t="s">
        <v>200</v>
      </c>
    </row>
    <row r="13" customFormat="false" ht="31.5" hidden="false" customHeight="true" outlineLevel="0" collapsed="false">
      <c r="A13" s="30" t="s">
        <v>201</v>
      </c>
      <c r="B13" s="30"/>
      <c r="C13" s="30"/>
    </row>
  </sheetData>
  <mergeCells count="1">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22"/>
  </cols>
  <sheetData>
    <row r="1" customFormat="false" ht="16.15" hidden="false" customHeight="false" outlineLevel="0" collapsed="false">
      <c r="A1" s="1" t="s">
        <v>202</v>
      </c>
    </row>
    <row r="3" customFormat="false" ht="15" hidden="false" customHeight="false" outlineLevel="0" collapsed="false">
      <c r="A3" s="12" t="s">
        <v>203</v>
      </c>
    </row>
    <row r="4" customFormat="false" ht="15" hidden="false" customHeight="true" outlineLevel="0" collapsed="false">
      <c r="A4" s="30" t="s">
        <v>204</v>
      </c>
      <c r="B4" s="30"/>
      <c r="C4" s="30"/>
      <c r="D4" s="30"/>
      <c r="E4" s="30"/>
      <c r="F4" s="30"/>
    </row>
    <row r="5" customFormat="false" ht="15" hidden="false" customHeight="false" outlineLevel="0" collapsed="false">
      <c r="A5" s="30"/>
      <c r="B5" s="30"/>
      <c r="C5" s="30"/>
      <c r="D5" s="30"/>
      <c r="E5" s="30"/>
      <c r="F5" s="30"/>
    </row>
    <row r="6" customFormat="false" ht="15" hidden="false" customHeight="false" outlineLevel="0" collapsed="false">
      <c r="A6" s="30"/>
      <c r="B6" s="30"/>
      <c r="C6" s="30"/>
      <c r="D6" s="30"/>
      <c r="E6" s="30"/>
      <c r="F6" s="30"/>
    </row>
    <row r="8" customFormat="false" ht="15" hidden="false" customHeight="false" outlineLevel="0" collapsed="false">
      <c r="A8" s="12" t="s">
        <v>205</v>
      </c>
    </row>
    <row r="9" customFormat="false" ht="15" hidden="false" customHeight="true" outlineLevel="0" collapsed="false">
      <c r="A9" s="30" t="s">
        <v>206</v>
      </c>
      <c r="B9" s="30"/>
      <c r="C9" s="30"/>
      <c r="D9" s="30"/>
      <c r="E9" s="30"/>
      <c r="F9" s="30"/>
    </row>
    <row r="10" customFormat="false" ht="15" hidden="false" customHeight="false" outlineLevel="0" collapsed="false">
      <c r="A10" s="30"/>
      <c r="B10" s="30"/>
      <c r="C10" s="30"/>
      <c r="D10" s="30"/>
      <c r="E10" s="30"/>
      <c r="F10" s="30"/>
    </row>
    <row r="11" customFormat="false" ht="15" hidden="false" customHeight="false" outlineLevel="0" collapsed="false">
      <c r="A11" s="30"/>
      <c r="B11" s="30"/>
      <c r="C11" s="30"/>
      <c r="D11" s="30"/>
      <c r="E11" s="30"/>
      <c r="F11" s="30"/>
    </row>
    <row r="13" customFormat="false" ht="15" hidden="false" customHeight="false" outlineLevel="0" collapsed="false">
      <c r="A13" s="12" t="s">
        <v>207</v>
      </c>
    </row>
    <row r="14" customFormat="false" ht="15" hidden="false" customHeight="true" outlineLevel="0" collapsed="false">
      <c r="A14" s="30" t="s">
        <v>208</v>
      </c>
      <c r="B14" s="30"/>
      <c r="C14" s="30"/>
      <c r="D14" s="30"/>
      <c r="E14" s="30"/>
      <c r="F14" s="30"/>
    </row>
    <row r="15" customFormat="false" ht="15" hidden="false" customHeight="false" outlineLevel="0" collapsed="false">
      <c r="A15" s="30"/>
      <c r="B15" s="30"/>
      <c r="C15" s="30"/>
      <c r="D15" s="30"/>
      <c r="E15" s="30"/>
      <c r="F15" s="30"/>
    </row>
    <row r="16" customFormat="false" ht="15" hidden="false" customHeight="false" outlineLevel="0" collapsed="false">
      <c r="A16" s="30"/>
      <c r="B16" s="30"/>
      <c r="C16" s="30"/>
      <c r="D16" s="30"/>
      <c r="E16" s="30"/>
      <c r="F16" s="30"/>
    </row>
    <row r="18" customFormat="false" ht="15" hidden="false" customHeight="false" outlineLevel="0" collapsed="false">
      <c r="A18" s="12" t="s">
        <v>209</v>
      </c>
    </row>
    <row r="19" customFormat="false" ht="15" hidden="false" customHeight="true" outlineLevel="0" collapsed="false">
      <c r="A19" s="30" t="s">
        <v>210</v>
      </c>
      <c r="B19" s="30"/>
      <c r="C19" s="30"/>
      <c r="D19" s="30"/>
      <c r="E19" s="30"/>
      <c r="F19" s="30"/>
    </row>
    <row r="20" customFormat="false" ht="15" hidden="false" customHeight="false" outlineLevel="0" collapsed="false">
      <c r="A20" s="30"/>
      <c r="B20" s="30"/>
      <c r="C20" s="30"/>
      <c r="D20" s="30"/>
      <c r="E20" s="30"/>
      <c r="F20" s="30"/>
    </row>
    <row r="21" customFormat="false" ht="15" hidden="false" customHeight="false" outlineLevel="0" collapsed="false">
      <c r="A21" s="30"/>
      <c r="B21" s="30"/>
      <c r="C21" s="30"/>
      <c r="D21" s="30"/>
      <c r="E21" s="30"/>
      <c r="F21" s="30"/>
    </row>
    <row r="23" customFormat="false" ht="15" hidden="false" customHeight="false" outlineLevel="0" collapsed="false">
      <c r="A23" s="12" t="s">
        <v>211</v>
      </c>
    </row>
    <row r="24" customFormat="false" ht="15" hidden="false" customHeight="true" outlineLevel="0" collapsed="false">
      <c r="A24" s="30" t="s">
        <v>212</v>
      </c>
      <c r="B24" s="30"/>
      <c r="C24" s="30"/>
      <c r="D24" s="30"/>
      <c r="E24" s="30"/>
      <c r="F24" s="30"/>
    </row>
    <row r="25" customFormat="false" ht="15" hidden="false" customHeight="false" outlineLevel="0" collapsed="false">
      <c r="A25" s="30"/>
      <c r="B25" s="30"/>
      <c r="C25" s="30"/>
      <c r="D25" s="30"/>
      <c r="E25" s="30"/>
      <c r="F25" s="30"/>
    </row>
    <row r="26" customFormat="false" ht="15" hidden="false" customHeight="false" outlineLevel="0" collapsed="false">
      <c r="A26" s="30"/>
      <c r="B26" s="30"/>
      <c r="C26" s="30"/>
      <c r="D26" s="30"/>
      <c r="E26" s="30"/>
      <c r="F26" s="30"/>
    </row>
    <row r="28" customFormat="false" ht="15" hidden="false" customHeight="false" outlineLevel="0" collapsed="false">
      <c r="A28" s="12" t="s">
        <v>213</v>
      </c>
    </row>
    <row r="29" customFormat="false" ht="15" hidden="false" customHeight="true" outlineLevel="0" collapsed="false">
      <c r="A29" s="30" t="s">
        <v>214</v>
      </c>
      <c r="B29" s="30"/>
      <c r="C29" s="30"/>
      <c r="D29" s="30"/>
      <c r="E29" s="30"/>
      <c r="F29" s="30"/>
    </row>
    <row r="30" customFormat="false" ht="15" hidden="false" customHeight="false" outlineLevel="0" collapsed="false">
      <c r="A30" s="30"/>
      <c r="B30" s="30"/>
      <c r="C30" s="30"/>
      <c r="D30" s="30"/>
      <c r="E30" s="30"/>
      <c r="F30" s="30"/>
    </row>
    <row r="31" customFormat="false" ht="15" hidden="false" customHeight="false" outlineLevel="0" collapsed="false">
      <c r="A31" s="30"/>
      <c r="B31" s="30"/>
      <c r="C31" s="30"/>
      <c r="D31" s="30"/>
      <c r="E31" s="30"/>
      <c r="F31" s="30"/>
    </row>
    <row r="33" customFormat="false" ht="15" hidden="false" customHeight="false" outlineLevel="0" collapsed="false">
      <c r="A33" s="12" t="s">
        <v>215</v>
      </c>
    </row>
    <row r="34" customFormat="false" ht="15" hidden="false" customHeight="true" outlineLevel="0" collapsed="false">
      <c r="A34" s="30" t="s">
        <v>216</v>
      </c>
      <c r="B34" s="30"/>
      <c r="C34" s="30"/>
      <c r="D34" s="30"/>
      <c r="E34" s="30"/>
      <c r="F34" s="30"/>
    </row>
    <row r="35" customFormat="false" ht="15" hidden="false" customHeight="false" outlineLevel="0" collapsed="false">
      <c r="A35" s="30"/>
      <c r="B35" s="30"/>
      <c r="C35" s="30"/>
      <c r="D35" s="30"/>
      <c r="E35" s="30"/>
      <c r="F35" s="30"/>
    </row>
    <row r="36" customFormat="false" ht="15" hidden="false" customHeight="false" outlineLevel="0" collapsed="false">
      <c r="A36" s="30"/>
      <c r="B36" s="30"/>
      <c r="C36" s="30"/>
      <c r="D36" s="30"/>
      <c r="E36" s="30"/>
      <c r="F36" s="30"/>
    </row>
    <row r="38" customFormat="false" ht="15" hidden="false" customHeight="false" outlineLevel="0" collapsed="false">
      <c r="A38" s="12" t="s">
        <v>217</v>
      </c>
    </row>
    <row r="39" customFormat="false" ht="15" hidden="false" customHeight="true" outlineLevel="0" collapsed="false">
      <c r="A39" s="30" t="s">
        <v>218</v>
      </c>
      <c r="B39" s="30"/>
      <c r="C39" s="30"/>
      <c r="D39" s="30"/>
      <c r="E39" s="30"/>
      <c r="F39" s="30"/>
    </row>
    <row r="40" customFormat="false" ht="15" hidden="false" customHeight="false" outlineLevel="0" collapsed="false">
      <c r="A40" s="30"/>
      <c r="B40" s="30"/>
      <c r="C40" s="30"/>
      <c r="D40" s="30"/>
      <c r="E40" s="30"/>
      <c r="F40" s="30"/>
    </row>
    <row r="41" customFormat="false" ht="15" hidden="false" customHeight="false" outlineLevel="0" collapsed="false">
      <c r="A41" s="30"/>
      <c r="B41" s="30"/>
      <c r="C41" s="30"/>
      <c r="D41" s="30"/>
      <c r="E41" s="30"/>
      <c r="F41" s="30"/>
    </row>
    <row r="43" customFormat="false" ht="15" hidden="false" customHeight="false" outlineLevel="0" collapsed="false">
      <c r="A43" s="12" t="s">
        <v>219</v>
      </c>
    </row>
    <row r="44" customFormat="false" ht="15" hidden="false" customHeight="true" outlineLevel="0" collapsed="false">
      <c r="A44" s="30" t="s">
        <v>220</v>
      </c>
      <c r="B44" s="30"/>
      <c r="C44" s="30"/>
      <c r="D44" s="30"/>
      <c r="E44" s="30"/>
      <c r="F44" s="30"/>
    </row>
    <row r="45" customFormat="false" ht="15" hidden="false" customHeight="false" outlineLevel="0" collapsed="false">
      <c r="A45" s="30"/>
      <c r="B45" s="30"/>
      <c r="C45" s="30"/>
      <c r="D45" s="30"/>
      <c r="E45" s="30"/>
      <c r="F45" s="30"/>
    </row>
    <row r="46" customFormat="false" ht="15" hidden="false" customHeight="false" outlineLevel="0" collapsed="false">
      <c r="A46" s="30"/>
      <c r="B46" s="30"/>
      <c r="C46" s="30"/>
      <c r="D46" s="30"/>
      <c r="E46" s="30"/>
      <c r="F46" s="30"/>
    </row>
  </sheetData>
  <mergeCells count="9">
    <mergeCell ref="A4:F6"/>
    <mergeCell ref="A9:F11"/>
    <mergeCell ref="A14:F16"/>
    <mergeCell ref="A19:F21"/>
    <mergeCell ref="A24:F26"/>
    <mergeCell ref="A29:F31"/>
    <mergeCell ref="A34:F36"/>
    <mergeCell ref="A39:F41"/>
    <mergeCell ref="A44:F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2026-09-29T08:10:15Z</dcterms:created>
  <dc:creator>openpyxl</dc:creator>
  <dc:description/>
  <dc:language>en-US</dc:language>
  <cp:lastModifiedBy/>
  <dcterms:modified xsi:type="dcterms:W3CDTF">2026-09-29T08:10:15Z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