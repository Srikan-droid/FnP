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acility Detail"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23" authorId="0">
      <text>
        <r>
          <rPr>
            <sz val="10"/>
            <rFont val="Arial"/>
            <family val="2"/>
          </rPr>
          <t xml:space="preserve">Total balance outstanding across all facilities, secured and unsecured/contingent. Reconciles with the aggregate indebtedness figure on the bank reference letter (bank_reference_letter.pdf) for the same subject.</t>
        </r>
      </text>
    </comment>
  </commentList>
</comments>
</file>

<file path=xl/sharedStrings.xml><?xml version="1.0" encoding="utf-8"?>
<sst xmlns="http://schemas.openxmlformats.org/spreadsheetml/2006/main" count="71" uniqueCount="50">
  <si>
    <t xml:space="preserve">NAMIBIA CREDIT BUREAU (PTY) LTD</t>
  </si>
  <si>
    <t xml:space="preserve">Consumer Credit Report — Summary</t>
  </si>
  <si>
    <t xml:space="preserve">Subject name:</t>
  </si>
  <si>
    <t xml:space="preserve">Maria L. van Wyk</t>
  </si>
  <si>
    <t xml:space="preserve">National identity number:</t>
  </si>
  <si>
    <t xml:space="preserve">72012700229</t>
  </si>
  <si>
    <t xml:space="preserve">Report reference:</t>
  </si>
  <si>
    <t xml:space="preserve">NCB/2026/771402</t>
  </si>
  <si>
    <t xml:space="preserve">Report date:</t>
  </si>
  <si>
    <t xml:space="preserve">2026-08-05</t>
  </si>
  <si>
    <t xml:space="preserve">Metric</t>
  </si>
  <si>
    <t xml:space="preserve">Value</t>
  </si>
  <si>
    <t xml:space="preserve">Number of facilities on record</t>
  </si>
  <si>
    <t xml:space="preserve">Total credit limit across all facilities (N$)</t>
  </si>
  <si>
    <t xml:space="preserve">Total balance outstanding across all facilities (N$)</t>
  </si>
  <si>
    <t xml:space="preserve">Facilities restructured for reasons of non-payment</t>
  </si>
  <si>
    <t xml:space="preserve">Facilities written off or subject to debt forgiveness</t>
  </si>
  <si>
    <t xml:space="preserve">Assessment</t>
  </si>
  <si>
    <t xml:space="preserve">One facility (FAC-2019-88231) reflects a restructure in 2020 for reasons of non-payment. No facility on this subject's record has been written off or forgiven.</t>
  </si>
  <si>
    <t xml:space="preserve">SYNTHETIC TEST DOCUMENT — generated for pipeline testing. Not a real credit record.</t>
  </si>
  <si>
    <t xml:space="preserve">Consumer Credit Report — Facility Detail</t>
  </si>
  <si>
    <t xml:space="preserve">SECURED FACILITIES</t>
  </si>
  <si>
    <t xml:space="preserve">Facility Ref</t>
  </si>
  <si>
    <t xml:space="preserve">Credit Provider</t>
  </si>
  <si>
    <t xml:space="preserve">Facility Type</t>
  </si>
  <si>
    <t xml:space="preserve">Credit Limit (N$)</t>
  </si>
  <si>
    <t xml:space="preserve">Balance Outstanding (N$)</t>
  </si>
  <si>
    <t xml:space="preserve">Status / Payment Behaviour</t>
  </si>
  <si>
    <t xml:space="preserve">FAC-2019-88231</t>
  </si>
  <si>
    <t xml:space="preserve">Bank Windhoek Limited</t>
  </si>
  <si>
    <t xml:space="preserve">Home loan</t>
  </si>
  <si>
    <t xml:space="preserve">Restructured 2020-07-20 for reasons of non-payment; regularised 2021-03-31; no arrears since</t>
  </si>
  <si>
    <t xml:space="preserve">FAC-2021-10554</t>
  </si>
  <si>
    <t xml:space="preserve">Vehicle finance</t>
  </si>
  <si>
    <t xml:space="preserve">Performing; no arrears in the last 24 months</t>
  </si>
  <si>
    <t xml:space="preserve">Subtotal — secured facilities</t>
  </si>
  <si>
    <t xml:space="preserve">UNSECURED / CONTINGENT FACILITIES</t>
  </si>
  <si>
    <t xml:space="preserve">FAC-2022-77310</t>
  </si>
  <si>
    <t xml:space="preserve">Overdraft</t>
  </si>
  <si>
    <t xml:space="preserve">Performing; no arrears</t>
  </si>
  <si>
    <t xml:space="preserve">GTE-2019-00912</t>
  </si>
  <si>
    <t xml:space="preserve">Suretyship (contingent liability)</t>
  </si>
  <si>
    <t xml:space="preserve">Contingent liability; not called upon</t>
  </si>
  <si>
    <t xml:space="preserve">Subtotal — unsecured / contingent facilities</t>
  </si>
  <si>
    <t xml:space="preserve">TOTAL EXPOSURE</t>
  </si>
  <si>
    <t xml:space="preserve">Notes and Methodology</t>
  </si>
  <si>
    <t xml:space="preserve">1. This report reflects facilities reported to the Bureau by participating credit providers as at the report date shown on the Summary and Facility Detail sheets. It does not include facilities with providers who do not report to the Bureau.</t>
  </si>
  <si>
    <t xml:space="preserve">2. “Restructured” indicates a facility whose terms were amended following arrears or a payment default, whether or not any amount was written off. A restructure without a write-off does not itself constitute a write-off or debt forgiveness.</t>
  </si>
  <si>
    <t xml:space="preserve">3. “Written off” or “forgiven” indicates a facility, or part of a facility, that the credit provider has released the subject from any obligation to repay.</t>
  </si>
  <si>
    <t xml:space="preserve">4. A contingent liability, such as a suretyship, is included in total exposure at its full value regardless of whether it has been called upon.</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</si>
</sst>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3"/>
      <color rgb="FF17365D"/>
      <name val="Arial"/>
      <family val="0"/>
      <charset val="1"/>
    </font>
    <font>
      <sz val="9"/>
      <color rgb="FF5F5E5A"/>
      <name val="Arial"/>
      <family val="0"/>
      <charset val="1"/>
    </font>
    <font>
      <b val="true"/>
      <sz val="9.5"/>
      <name val="Arial"/>
      <family val="0"/>
      <charset val="1"/>
    </font>
    <font>
      <sz val="9.5"/>
      <name val="Arial"/>
      <family val="0"/>
      <charset val="1"/>
    </font>
    <font>
      <b val="true"/>
      <sz val="9.5"/>
      <color rgb="FFFFFFFF"/>
      <name val="Arial"/>
      <family val="0"/>
      <charset val="1"/>
    </font>
    <font>
      <i val="true"/>
      <sz val="8"/>
      <color rgb="FF5F5E5A"/>
      <name val="Arial"/>
      <family val="0"/>
      <charset val="1"/>
    </font>
    <font>
      <b val="true"/>
      <sz val="9.5"/>
      <color rgb="FF17365D"/>
      <name val="Arial"/>
      <family val="0"/>
      <charset val="1"/>
    </font>
    <font>
      <b val="true"/>
      <sz val="10"/>
      <name val="Arial"/>
      <family val="0"/>
      <charset val="1"/>
    </font>
    <font>
      <sz val="10"/>
      <name val="Arial"/>
      <family val="2"/>
    </font>
  </fonts>
  <fills count="5">
    <fill>
      <patternFill patternType="none"/>
    </fill>
    <fill>
      <patternFill patternType="gray125"/>
    </fill>
    <fill>
      <patternFill patternType="solid">
        <fgColor rgb="FF17365D"/>
        <bgColor rgb="FF333333"/>
      </patternFill>
    </fill>
    <fill>
      <patternFill patternType="solid">
        <fgColor rgb="FFE8EEF7"/>
        <bgColor rgb="FFF4F3EF"/>
      </patternFill>
    </fill>
    <fill>
      <patternFill patternType="solid">
        <fgColor rgb="FFF4F3EF"/>
        <bgColor rgb="FFE8EE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doubl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0" xfId="0" applyFont="true" applyBorder="true" applyAlignment="true" applyProtection="false">
      <alignment horizontal="general" vertical="bottom" textRotation="0" wrapText="false" indent="0" shrinkToFit="false"/>
      <protection locked="true" hidden="false"/>
    </xf>
    <xf numFmtId="165" fontId="6"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false" indent="0" shrinkToFit="false"/>
      <protection locked="true" hidden="false"/>
    </xf>
    <xf numFmtId="165" fontId="11" fillId="0" borderId="2"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3EF"/>
      <rgbColor rgb="FFE8EE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5E5A"/>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20"/>
    <col collapsed="false" customWidth="true" hidden="false" outlineLevel="0" max="4" min="3" style="1" width="14"/>
  </cols>
  <sheetData>
    <row r="1" customFormat="false" ht="15.75" hidden="false" customHeight="true" outlineLevel="0" collapsed="false">
      <c r="A1" s="2" t="s">
        <v>0</v>
      </c>
      <c r="B1" s="2"/>
      <c r="C1" s="2"/>
      <c r="D1" s="2"/>
    </row>
    <row r="2" customFormat="false" ht="15" hidden="false" customHeight="true" outlineLevel="0" collapsed="false">
      <c r="A2" s="3" t="s">
        <v>1</v>
      </c>
      <c r="B2" s="3"/>
      <c r="C2" s="3"/>
      <c r="D2" s="3"/>
    </row>
    <row r="4" customFormat="false" ht="15" hidden="false" customHeight="true" outlineLevel="0" collapsed="false">
      <c r="A4" s="4" t="s">
        <v>2</v>
      </c>
      <c r="B4" s="5" t="s">
        <v>3</v>
      </c>
    </row>
    <row r="5" customFormat="false" ht="15" hidden="false" customHeight="true" outlineLevel="0" collapsed="false">
      <c r="A5" s="4" t="s">
        <v>4</v>
      </c>
      <c r="B5" s="5" t="s">
        <v>5</v>
      </c>
    </row>
    <row r="6" customFormat="false" ht="15" hidden="false" customHeight="true" outlineLevel="0" collapsed="false">
      <c r="A6" s="4" t="s">
        <v>6</v>
      </c>
      <c r="B6" s="5" t="s">
        <v>7</v>
      </c>
    </row>
    <row r="7" customFormat="false" ht="15" hidden="false" customHeight="true" outlineLevel="0" collapsed="false">
      <c r="A7" s="4" t="s">
        <v>8</v>
      </c>
      <c r="B7" s="5" t="s">
        <v>9</v>
      </c>
    </row>
    <row r="9" customFormat="false" ht="15" hidden="false" customHeight="true" outlineLevel="0" collapsed="false">
      <c r="A9" s="6" t="s">
        <v>10</v>
      </c>
      <c r="B9" s="6" t="s">
        <v>11</v>
      </c>
    </row>
    <row r="10" customFormat="false" ht="15" hidden="false" customHeight="true" outlineLevel="0" collapsed="false">
      <c r="A10" s="5" t="s">
        <v>12</v>
      </c>
      <c r="B10" s="5" t="n">
        <f aca="false">COUNTA('Facility Detail'!A11:A12)+COUNTA('Facility Detail'!A18:A19)</f>
        <v>4</v>
      </c>
    </row>
    <row r="11" customFormat="false" ht="15" hidden="false" customHeight="true" outlineLevel="0" collapsed="false">
      <c r="A11" s="5" t="s">
        <v>13</v>
      </c>
      <c r="B11" s="7" t="n">
        <f aca="false">'Facility Detail'!D23</f>
        <v>5100000</v>
      </c>
    </row>
    <row r="12" customFormat="false" ht="15" hidden="false" customHeight="true" outlineLevel="0" collapsed="false">
      <c r="A12" s="5" t="s">
        <v>14</v>
      </c>
      <c r="B12" s="7" t="n">
        <f aca="false">'Facility Detail'!E23</f>
        <v>4200000</v>
      </c>
    </row>
    <row r="13" customFormat="false" ht="15" hidden="false" customHeight="true" outlineLevel="0" collapsed="false">
      <c r="A13" s="5" t="s">
        <v>15</v>
      </c>
      <c r="B13" s="5" t="n">
        <f aca="false">COUNTIF('Facility Detail'!F11:F12,"*Restructured*")</f>
        <v>1</v>
      </c>
    </row>
    <row r="14" customFormat="false" ht="15" hidden="false" customHeight="true" outlineLevel="0" collapsed="false">
      <c r="A14" s="5" t="s">
        <v>16</v>
      </c>
      <c r="B14" s="5" t="n">
        <f aca="false">COUNTIF('Facility Detail'!F11:F19,"*written off*")+COUNTIF('Facility Detail'!F11:F19,"*forgiven*")</f>
        <v>0</v>
      </c>
    </row>
    <row r="16" customFormat="false" ht="15" hidden="false" customHeight="true" outlineLevel="0" collapsed="false">
      <c r="A16" s="4" t="s">
        <v>17</v>
      </c>
    </row>
    <row r="17" customFormat="false" ht="30" hidden="false" customHeight="true" outlineLevel="0" collapsed="false">
      <c r="A17" s="8" t="s">
        <v>18</v>
      </c>
      <c r="B17" s="8"/>
      <c r="C17" s="8"/>
      <c r="D17" s="8"/>
    </row>
    <row r="19" customFormat="false" ht="15" hidden="false" customHeight="true" outlineLevel="0" collapsed="false">
      <c r="A19" s="9" t="s">
        <v>19</v>
      </c>
    </row>
  </sheetData>
  <mergeCells count="3">
    <mergeCell ref="A1:D1"/>
    <mergeCell ref="A2:D2"/>
    <mergeCell ref="A17:D17"/>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24"/>
    <col collapsed="false" customWidth="true" hidden="false" outlineLevel="0" max="4" min="4" style="1" width="16"/>
    <col collapsed="false" customWidth="true" hidden="false" outlineLevel="0" max="5" min="5" style="1" width="20"/>
    <col collapsed="false" customWidth="true" hidden="false" outlineLevel="0" max="6" min="6" style="1" width="42"/>
  </cols>
  <sheetData>
    <row r="1" customFormat="false" ht="15.75" hidden="false" customHeight="true" outlineLevel="0" collapsed="false">
      <c r="A1" s="2" t="s">
        <v>0</v>
      </c>
      <c r="B1" s="2"/>
      <c r="C1" s="2"/>
      <c r="D1" s="2"/>
      <c r="E1" s="2"/>
      <c r="F1" s="2"/>
    </row>
    <row r="2" customFormat="false" ht="15" hidden="false" customHeight="true" outlineLevel="0" collapsed="false">
      <c r="A2" s="3" t="s">
        <v>20</v>
      </c>
      <c r="B2" s="3"/>
      <c r="C2" s="3"/>
      <c r="D2" s="3"/>
      <c r="E2" s="3"/>
      <c r="F2" s="3"/>
    </row>
    <row r="4" customFormat="false" ht="15" hidden="false" customHeight="true" outlineLevel="0" collapsed="false">
      <c r="A4" s="4" t="s">
        <v>2</v>
      </c>
      <c r="B4" s="5" t="s">
        <v>3</v>
      </c>
    </row>
    <row r="5" customFormat="false" ht="15" hidden="false" customHeight="true" outlineLevel="0" collapsed="false">
      <c r="A5" s="4" t="s">
        <v>4</v>
      </c>
      <c r="B5" s="5" t="s">
        <v>5</v>
      </c>
    </row>
    <row r="6" customFormat="false" ht="15" hidden="false" customHeight="true" outlineLevel="0" collapsed="false">
      <c r="A6" s="4" t="s">
        <v>6</v>
      </c>
      <c r="B6" s="5" t="s">
        <v>7</v>
      </c>
    </row>
    <row r="7" customFormat="false" ht="15" hidden="false" customHeight="true" outlineLevel="0" collapsed="false">
      <c r="A7" s="4" t="s">
        <v>8</v>
      </c>
      <c r="B7" s="5" t="s">
        <v>9</v>
      </c>
    </row>
    <row r="9" customFormat="false" ht="15" hidden="false" customHeight="true" outlineLevel="0" collapsed="false">
      <c r="A9" s="10" t="s">
        <v>21</v>
      </c>
      <c r="B9" s="10"/>
      <c r="C9" s="10"/>
      <c r="D9" s="10"/>
      <c r="E9" s="10"/>
      <c r="F9" s="10"/>
    </row>
    <row r="10" customFormat="false" ht="23.25" hidden="false" customHeight="true" outlineLevel="0" collapsed="false">
      <c r="A10" s="11" t="s">
        <v>22</v>
      </c>
      <c r="B10" s="11" t="s">
        <v>23</v>
      </c>
      <c r="C10" s="11" t="s">
        <v>24</v>
      </c>
      <c r="D10" s="11" t="s">
        <v>25</v>
      </c>
      <c r="E10" s="11" t="s">
        <v>26</v>
      </c>
      <c r="F10" s="11" t="s">
        <v>27</v>
      </c>
    </row>
    <row r="11" customFormat="false" ht="23.25" hidden="false" customHeight="true" outlineLevel="0" collapsed="false">
      <c r="A11" s="12" t="s">
        <v>28</v>
      </c>
      <c r="B11" s="12" t="s">
        <v>29</v>
      </c>
      <c r="C11" s="12" t="s">
        <v>30</v>
      </c>
      <c r="D11" s="13" t="n">
        <v>3200000</v>
      </c>
      <c r="E11" s="13" t="n">
        <v>2780000</v>
      </c>
      <c r="F11" s="14" t="s">
        <v>31</v>
      </c>
    </row>
    <row r="12" customFormat="false" ht="15" hidden="false" customHeight="true" outlineLevel="0" collapsed="false">
      <c r="A12" s="12" t="s">
        <v>32</v>
      </c>
      <c r="B12" s="12" t="s">
        <v>29</v>
      </c>
      <c r="C12" s="12" t="s">
        <v>33</v>
      </c>
      <c r="D12" s="13" t="n">
        <v>900000</v>
      </c>
      <c r="E12" s="13" t="n">
        <v>420000</v>
      </c>
      <c r="F12" s="14" t="s">
        <v>34</v>
      </c>
    </row>
    <row r="14" customFormat="false" ht="15" hidden="false" customHeight="true" outlineLevel="0" collapsed="false">
      <c r="A14" s="15" t="s">
        <v>35</v>
      </c>
      <c r="B14" s="15"/>
      <c r="C14" s="15"/>
      <c r="D14" s="16" t="n">
        <f aca="false">SUM(D11:D12)</f>
        <v>4100000</v>
      </c>
      <c r="E14" s="16" t="n">
        <f aca="false">SUM(E11:E12)</f>
        <v>3200000</v>
      </c>
      <c r="F14" s="17"/>
    </row>
    <row r="16" customFormat="false" ht="15" hidden="false" customHeight="true" outlineLevel="0" collapsed="false">
      <c r="A16" s="10" t="s">
        <v>36</v>
      </c>
      <c r="B16" s="10"/>
      <c r="C16" s="10"/>
      <c r="D16" s="10"/>
      <c r="E16" s="10"/>
      <c r="F16" s="10"/>
    </row>
    <row r="17" customFormat="false" ht="23.25" hidden="false" customHeight="true" outlineLevel="0" collapsed="false">
      <c r="A17" s="11" t="s">
        <v>22</v>
      </c>
      <c r="B17" s="11" t="s">
        <v>23</v>
      </c>
      <c r="C17" s="11" t="s">
        <v>24</v>
      </c>
      <c r="D17" s="11" t="s">
        <v>25</v>
      </c>
      <c r="E17" s="11" t="s">
        <v>26</v>
      </c>
      <c r="F17" s="11" t="s">
        <v>27</v>
      </c>
    </row>
    <row r="18" customFormat="false" ht="15" hidden="false" customHeight="true" outlineLevel="0" collapsed="false">
      <c r="A18" s="12" t="s">
        <v>37</v>
      </c>
      <c r="B18" s="12" t="s">
        <v>29</v>
      </c>
      <c r="C18" s="12" t="s">
        <v>38</v>
      </c>
      <c r="D18" s="13" t="n">
        <v>400000</v>
      </c>
      <c r="E18" s="13" t="n">
        <v>400000</v>
      </c>
      <c r="F18" s="14" t="s">
        <v>39</v>
      </c>
    </row>
    <row r="19" customFormat="false" ht="15" hidden="false" customHeight="true" outlineLevel="0" collapsed="false">
      <c r="A19" s="12" t="s">
        <v>40</v>
      </c>
      <c r="B19" s="12" t="s">
        <v>29</v>
      </c>
      <c r="C19" s="12" t="s">
        <v>41</v>
      </c>
      <c r="D19" s="13" t="n">
        <v>600000</v>
      </c>
      <c r="E19" s="13" t="n">
        <v>600000</v>
      </c>
      <c r="F19" s="14" t="s">
        <v>42</v>
      </c>
    </row>
    <row r="21" customFormat="false" ht="15" hidden="false" customHeight="true" outlineLevel="0" collapsed="false">
      <c r="A21" s="15" t="s">
        <v>43</v>
      </c>
      <c r="B21" s="15"/>
      <c r="C21" s="15"/>
      <c r="D21" s="16" t="n">
        <f aca="false">SUM(D18:D19)</f>
        <v>1000000</v>
      </c>
      <c r="E21" s="16" t="n">
        <f aca="false">SUM(E18:E19)</f>
        <v>1000000</v>
      </c>
      <c r="F21" s="17"/>
    </row>
    <row r="23" customFormat="false" ht="15" hidden="false" customHeight="true" outlineLevel="0" collapsed="false">
      <c r="A23" s="18" t="s">
        <v>44</v>
      </c>
      <c r="B23" s="18"/>
      <c r="C23" s="18"/>
      <c r="D23" s="19" t="n">
        <f aca="false">D14+D21</f>
        <v>5100000</v>
      </c>
      <c r="E23" s="19" t="n">
        <f aca="false">E14+E21</f>
        <v>4200000</v>
      </c>
    </row>
    <row r="25" customFormat="false" ht="15" hidden="false" customHeight="true" outlineLevel="0" collapsed="false">
      <c r="A25" s="9" t="s">
        <v>19</v>
      </c>
    </row>
  </sheetData>
  <mergeCells count="7">
    <mergeCell ref="A1:F1"/>
    <mergeCell ref="A2:F2"/>
    <mergeCell ref="A9:F9"/>
    <mergeCell ref="A14:C14"/>
    <mergeCell ref="A16:F16"/>
    <mergeCell ref="A21:C21"/>
    <mergeCell ref="A23:C23"/>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5.75" hidden="false" customHeight="true" outlineLevel="0" collapsed="false">
      <c r="A1" s="20" t="s">
        <v>0</v>
      </c>
    </row>
    <row r="2" customFormat="false" ht="15" hidden="false" customHeight="true" outlineLevel="0" collapsed="false">
      <c r="A2" s="21" t="s">
        <v>45</v>
      </c>
    </row>
    <row r="4" customFormat="false" ht="30" hidden="false" customHeight="true" outlineLevel="0" collapsed="false">
      <c r="A4" s="8" t="s">
        <v>46</v>
      </c>
      <c r="B4" s="8"/>
      <c r="C4" s="8"/>
      <c r="D4" s="8"/>
    </row>
    <row r="5" customFormat="false" ht="30" hidden="false" customHeight="true" outlineLevel="0" collapsed="false">
      <c r="A5" s="8" t="s">
        <v>47</v>
      </c>
      <c r="B5" s="8"/>
      <c r="C5" s="8"/>
      <c r="D5" s="8"/>
    </row>
    <row r="6" customFormat="false" ht="30" hidden="false" customHeight="true" outlineLevel="0" collapsed="false">
      <c r="A6" s="8" t="s">
        <v>48</v>
      </c>
      <c r="B6" s="8"/>
      <c r="C6" s="8"/>
      <c r="D6" s="8"/>
    </row>
    <row r="7" customFormat="false" ht="30" hidden="false" customHeight="true" outlineLevel="0" collapsed="false">
      <c r="A7" s="8" t="s">
        <v>49</v>
      </c>
      <c r="B7" s="8"/>
      <c r="C7" s="8"/>
      <c r="D7" s="8"/>
    </row>
    <row r="9" customFormat="false" ht="15" hidden="false" customHeight="true" outlineLevel="0" collapsed="false">
      <c r="A9" s="9" t="s">
        <v>19</v>
      </c>
    </row>
  </sheetData>
  <mergeCells count="4">
    <mergeCell ref="A4:D4"/>
    <mergeCell ref="A5:D5"/>
    <mergeCell ref="A6:D6"/>
    <mergeCell ref="A7:D7"/>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2026-09-28T07:07:32Z</dcterms:created>
  <dc:creator>openpyxl</dc:creator>
  <dc:description/>
  <dc:language>en-US</dc:language>
  <cp:lastModifiedBy/>
  <dcterms:modified xsi:type="dcterms:W3CDTF">2026-09-28T07:08:40Z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