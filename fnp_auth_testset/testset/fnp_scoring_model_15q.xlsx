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rikant.mishra\Downloads\"/>
    </mc:Choice>
  </mc:AlternateContent>
  <xr:revisionPtr revIDLastSave="0" documentId="11_DCC5C2B9E501DF64C6FAAEC3DD6A5250BE5317FC" xr6:coauthVersionLast="47" xr6:coauthVersionMax="47" xr10:uidLastSave="{00000000-0000-0000-0000-000000000000}"/>
  <bookViews>
    <workbookView xWindow="-120" yWindow="-120" windowWidth="20730" windowHeight="11040" tabRatio="500" xr2:uid="{00000000-000D-0000-FFFF-FFFF00000000}"/>
  </bookViews>
  <sheets>
    <sheet name="Scoring Model" sheetId="1" r:id="rId1"/>
    <sheet name="Bands" sheetId="2" r:id="rId2"/>
    <sheet name="Section Weights" sheetId="3" r:id="rId3"/>
    <sheet name="Worked Examples" sheetId="4" r:id="rId4"/>
    <sheet name="Notes and Assumption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5" i="4" l="1"/>
  <c r="F25" i="4"/>
  <c r="E25" i="4"/>
  <c r="D25" i="4"/>
  <c r="C25" i="4"/>
  <c r="Q19" i="4"/>
  <c r="P19" i="4"/>
  <c r="O19" i="4"/>
  <c r="N19" i="4"/>
  <c r="M19" i="4"/>
  <c r="L19" i="4"/>
  <c r="K19" i="4"/>
  <c r="J19" i="4"/>
  <c r="I19" i="4"/>
  <c r="H19" i="4"/>
  <c r="B19" i="4"/>
  <c r="Q18" i="4"/>
  <c r="P18" i="4"/>
  <c r="O18" i="4"/>
  <c r="N18" i="4"/>
  <c r="M18" i="4"/>
  <c r="L18" i="4"/>
  <c r="K18" i="4"/>
  <c r="J18" i="4"/>
  <c r="I18" i="4"/>
  <c r="H18" i="4"/>
  <c r="B18" i="4"/>
  <c r="Q17" i="4"/>
  <c r="P17" i="4"/>
  <c r="O17" i="4"/>
  <c r="N17" i="4"/>
  <c r="M17" i="4"/>
  <c r="L17" i="4"/>
  <c r="K17" i="4"/>
  <c r="J17" i="4"/>
  <c r="I17" i="4"/>
  <c r="H17" i="4"/>
  <c r="B17" i="4"/>
  <c r="Q16" i="4"/>
  <c r="P16" i="4"/>
  <c r="O16" i="4"/>
  <c r="N16" i="4"/>
  <c r="M16" i="4"/>
  <c r="L16" i="4"/>
  <c r="K16" i="4"/>
  <c r="J16" i="4"/>
  <c r="I16" i="4"/>
  <c r="H16" i="4"/>
  <c r="B16" i="4"/>
  <c r="Q15" i="4"/>
  <c r="P15" i="4"/>
  <c r="O15" i="4"/>
  <c r="N15" i="4"/>
  <c r="M15" i="4"/>
  <c r="L15" i="4"/>
  <c r="K15" i="4"/>
  <c r="J15" i="4"/>
  <c r="I15" i="4"/>
  <c r="H15" i="4"/>
  <c r="B15" i="4"/>
  <c r="Q14" i="4"/>
  <c r="P14" i="4"/>
  <c r="O14" i="4"/>
  <c r="N14" i="4"/>
  <c r="M14" i="4"/>
  <c r="L14" i="4"/>
  <c r="K14" i="4"/>
  <c r="J14" i="4"/>
  <c r="I14" i="4"/>
  <c r="H14" i="4"/>
  <c r="B14" i="4"/>
  <c r="Q13" i="4"/>
  <c r="P13" i="4"/>
  <c r="O13" i="4"/>
  <c r="N13" i="4"/>
  <c r="M13" i="4"/>
  <c r="L13" i="4"/>
  <c r="K13" i="4"/>
  <c r="J13" i="4"/>
  <c r="I13" i="4"/>
  <c r="H13" i="4"/>
  <c r="B13" i="4"/>
  <c r="Q12" i="4"/>
  <c r="P12" i="4"/>
  <c r="O12" i="4"/>
  <c r="N12" i="4"/>
  <c r="M12" i="4"/>
  <c r="L12" i="4"/>
  <c r="K12" i="4"/>
  <c r="J12" i="4"/>
  <c r="I12" i="4"/>
  <c r="H12" i="4"/>
  <c r="B12" i="4"/>
  <c r="Q11" i="4"/>
  <c r="P11" i="4"/>
  <c r="O11" i="4"/>
  <c r="N11" i="4"/>
  <c r="M11" i="4"/>
  <c r="L11" i="4"/>
  <c r="K11" i="4"/>
  <c r="J11" i="4"/>
  <c r="I11" i="4"/>
  <c r="H11" i="4"/>
  <c r="B11" i="4"/>
  <c r="Q10" i="4"/>
  <c r="P10" i="4"/>
  <c r="O10" i="4"/>
  <c r="N10" i="4"/>
  <c r="M10" i="4"/>
  <c r="L10" i="4"/>
  <c r="K10" i="4"/>
  <c r="J10" i="4"/>
  <c r="I10" i="4"/>
  <c r="H10" i="4"/>
  <c r="B10" i="4"/>
  <c r="Q9" i="4"/>
  <c r="G21" i="4" s="1"/>
  <c r="P9" i="4"/>
  <c r="O9" i="4"/>
  <c r="N9" i="4"/>
  <c r="M9" i="4"/>
  <c r="L9" i="4"/>
  <c r="K9" i="4"/>
  <c r="J9" i="4"/>
  <c r="I9" i="4"/>
  <c r="D20" i="4" s="1"/>
  <c r="D22" i="4" s="1"/>
  <c r="H9" i="4"/>
  <c r="B9" i="4"/>
  <c r="Q8" i="4"/>
  <c r="P8" i="4"/>
  <c r="O8" i="4"/>
  <c r="N8" i="4"/>
  <c r="M8" i="4"/>
  <c r="L8" i="4"/>
  <c r="K8" i="4"/>
  <c r="J8" i="4"/>
  <c r="I8" i="4"/>
  <c r="H8" i="4"/>
  <c r="B8" i="4"/>
  <c r="Q7" i="4"/>
  <c r="P7" i="4"/>
  <c r="O7" i="4"/>
  <c r="N7" i="4"/>
  <c r="M7" i="4"/>
  <c r="L7" i="4"/>
  <c r="K7" i="4"/>
  <c r="J7" i="4"/>
  <c r="I7" i="4"/>
  <c r="H7" i="4"/>
  <c r="B7" i="4"/>
  <c r="Q6" i="4"/>
  <c r="P6" i="4"/>
  <c r="O6" i="4"/>
  <c r="N6" i="4"/>
  <c r="M6" i="4"/>
  <c r="L6" i="4"/>
  <c r="G20" i="4" s="1"/>
  <c r="K6" i="4"/>
  <c r="F20" i="4" s="1"/>
  <c r="F22" i="4" s="1"/>
  <c r="J6" i="4"/>
  <c r="E20" i="4" s="1"/>
  <c r="E22" i="4" s="1"/>
  <c r="I6" i="4"/>
  <c r="H6" i="4"/>
  <c r="B6" i="4"/>
  <c r="Q5" i="4"/>
  <c r="P5" i="4"/>
  <c r="F21" i="4" s="1"/>
  <c r="O5" i="4"/>
  <c r="E21" i="4" s="1"/>
  <c r="N5" i="4"/>
  <c r="D21" i="4" s="1"/>
  <c r="M5" i="4"/>
  <c r="C21" i="4" s="1"/>
  <c r="L5" i="4"/>
  <c r="K5" i="4"/>
  <c r="J5" i="4"/>
  <c r="I5" i="4"/>
  <c r="H5" i="4"/>
  <c r="C20" i="4" s="1"/>
  <c r="B5" i="4"/>
  <c r="B12" i="3"/>
  <c r="B27" i="1"/>
  <c r="F20" i="1"/>
  <c r="I19" i="1"/>
  <c r="H19" i="1"/>
  <c r="J19" i="1" s="1"/>
  <c r="I18" i="1"/>
  <c r="H18" i="1"/>
  <c r="J18" i="1" s="1"/>
  <c r="I17" i="1"/>
  <c r="J17" i="1" s="1"/>
  <c r="H17" i="1"/>
  <c r="I16" i="1"/>
  <c r="H16" i="1"/>
  <c r="J16" i="1" s="1"/>
  <c r="I15" i="1"/>
  <c r="H15" i="1"/>
  <c r="J15" i="1" s="1"/>
  <c r="J14" i="1"/>
  <c r="I14" i="1"/>
  <c r="H14" i="1"/>
  <c r="I13" i="1"/>
  <c r="H13" i="1"/>
  <c r="J13" i="1" s="1"/>
  <c r="I12" i="1"/>
  <c r="H12" i="1"/>
  <c r="J12" i="1" s="1"/>
  <c r="I11" i="1"/>
  <c r="H11" i="1"/>
  <c r="J11" i="1" s="1"/>
  <c r="I10" i="1"/>
  <c r="H10" i="1"/>
  <c r="J10" i="1" s="1"/>
  <c r="I9" i="1"/>
  <c r="I20" i="1" s="1"/>
  <c r="B22" i="1" s="1"/>
  <c r="H9" i="1"/>
  <c r="I8" i="1"/>
  <c r="H8" i="1"/>
  <c r="J8" i="1" s="1"/>
  <c r="I7" i="1"/>
  <c r="H7" i="1"/>
  <c r="J7" i="1" s="1"/>
  <c r="J6" i="1"/>
  <c r="I6" i="1"/>
  <c r="H6" i="1"/>
  <c r="I5" i="1"/>
  <c r="H5" i="1"/>
  <c r="J5" i="1" s="1"/>
  <c r="E23" i="4" l="1"/>
  <c r="E24" i="4"/>
  <c r="D23" i="4"/>
  <c r="D24" i="4"/>
  <c r="F24" i="4"/>
  <c r="F23" i="4"/>
  <c r="G22" i="4"/>
  <c r="C22" i="4"/>
  <c r="J9" i="1"/>
  <c r="J20" i="1" s="1"/>
  <c r="B23" i="1" s="1"/>
  <c r="B24" i="1" s="1"/>
  <c r="B26" i="1" l="1"/>
  <c r="B25" i="1"/>
  <c r="B28" i="1"/>
  <c r="G24" i="4"/>
  <c r="G23" i="4"/>
  <c r="C23" i="4"/>
  <c r="C24" i="4"/>
</calcChain>
</file>

<file path=xl/sharedStrings.xml><?xml version="1.0" encoding="utf-8"?>
<sst xmlns="http://schemas.openxmlformats.org/spreadsheetml/2006/main" count="328" uniqueCount="173">
  <si>
    <t>Fit and proper risk scoring model — 15 question subset</t>
  </si>
  <si>
    <t>Risk score: lower is better. Yellow cells are inputs (answer and evidence status). Grey cells are calculated — do not overwrite. Pre-filled with APP001 as a worked example.</t>
  </si>
  <si>
    <t>Section</t>
  </si>
  <si>
    <t>Section weight</t>
  </si>
  <si>
    <t>QID</t>
  </si>
  <si>
    <t>Question</t>
  </si>
  <si>
    <t>Polarity</t>
  </si>
  <si>
    <t>Question weight</t>
  </si>
  <si>
    <t>Answer (Yes/No/N/A)</t>
  </si>
  <si>
    <t>Risk flag</t>
  </si>
  <si>
    <t>Applicable weight</t>
  </si>
  <si>
    <t>Weighted risk</t>
  </si>
  <si>
    <t>Knock-out</t>
  </si>
  <si>
    <t>Basis for the weight</t>
  </si>
  <si>
    <t>Age</t>
  </si>
  <si>
    <t>A1</t>
  </si>
  <si>
    <t>Is the applicant between 45–60 years of age?</t>
  </si>
  <si>
    <t>Positive</t>
  </si>
  <si>
    <t>Yes</t>
  </si>
  <si>
    <t>No</t>
  </si>
  <si>
    <t>Age band is a weak signal on its own; carries the least weight of any criterion.</t>
  </si>
  <si>
    <t>A4</t>
  </si>
  <si>
    <t>Is the applicant a naturalized citizen?</t>
  </si>
  <si>
    <t>Citizenship status is administrative, not a suitability risk. Lowest weight in the model.</t>
  </si>
  <si>
    <t>Qualifications &amp; Experience</t>
  </si>
  <si>
    <t>Q1</t>
  </si>
  <si>
    <t>Does the applicant hold a relevant academic qualification?</t>
  </si>
  <si>
    <t>A qualification is a threshold requirement but a weak predictor once experience is known.</t>
  </si>
  <si>
    <t>Q3</t>
  </si>
  <si>
    <t>Does the applicant have ≥10 years relevant experience?</t>
  </si>
  <si>
    <t>Depth of relevant experience is the strongest competence signal available; weighted twice the qualification.</t>
  </si>
  <si>
    <t>Professional Conduct /Reputation/Integrity</t>
  </si>
  <si>
    <t>PC1</t>
  </si>
  <si>
    <t>Have you at any time been charged with or convicted of any offence or otherwise found liable by a Civil, Criminal or Military Court (excluding minor road traffic offences) whether in Jamaica or elsewhere?</t>
  </si>
  <si>
    <t>Negative</t>
  </si>
  <si>
    <t>Conviction or civil liability goes to integrity. Heaviest single weight and a knock-out: a Yes refers the case regardless of total score.</t>
  </si>
  <si>
    <t>PC19</t>
  </si>
  <si>
    <t>Was there a time when you were not in compliance with any tax or other statutory requirements imposed on you?  (Section 3(1)(iii) of the Act)</t>
  </si>
  <si>
    <t>Tax or statutory non-compliance is material but often historic and remediable; weighted well below a conviction.</t>
  </si>
  <si>
    <t>Financial Soundness</t>
  </si>
  <si>
    <t>FC5</t>
  </si>
  <si>
    <t>Has any loan or credit facility (or part thereof) extended to you by any financial institution, been restructured, renegotiated, provided against or been the subject of a write-off or debt forgiveness for reasons of non-payment by you?</t>
  </si>
  <si>
    <t>A restructured or written-off facility evidences realised default, not just exposure. Heavier than gross indebtedness.</t>
  </si>
  <si>
    <t>FC7</t>
  </si>
  <si>
    <t>Do you (in your personal capacity), or through any legal person or arrangement controlled by you and/or any immediate relative have outstanding any loans or other forms of indebtedness (including guarantees) in excess of J$2.5mn?</t>
  </si>
  <si>
    <t>Indebtedness above the threshold is a scale measure; serviced debt is not itself misconduct.</t>
  </si>
  <si>
    <t>Conflict of interest. (Entity/Enterprise based)</t>
  </si>
  <si>
    <t>CoI2</t>
  </si>
  <si>
    <t>Have you ever been or are you currently a Director of any limited liability companies, societies, or other business enterprises engaged in financial services, as defined in the BSA?</t>
  </si>
  <si>
    <t>A directorship elsewhere in financial services is disclosable and common; low weight unless it becomes a control position.</t>
  </si>
  <si>
    <t>CoI6</t>
  </si>
  <si>
    <t>Are you a beneficial owner of any controlling interest in any financial institution, partnerships, societies, or trust corporations or other body, organization or entity whether for business, benevolent or other purposes?</t>
  </si>
  <si>
    <t>Beneficial ownership of a controlling interest creates a durable conflict the licensee cannot manage away; weighted above a plain directorship.</t>
  </si>
  <si>
    <t>Time Commitment</t>
  </si>
  <si>
    <t>T1</t>
  </si>
  <si>
    <t>Will you be actively engaged in the business of the Licensee to which this application relates and devote the major portion of your time thereto?</t>
  </si>
  <si>
    <t>Insufficient time commitment is a live governance risk for an executive appointment.</t>
  </si>
  <si>
    <t>T2</t>
  </si>
  <si>
    <t>If you are completing this form in the capacity of director or proposed director, please indicate whether you have or will have any executive responsibility for the management of the institution’s business</t>
  </si>
  <si>
    <t>N/A</t>
  </si>
  <si>
    <t>Set to N/A for a non-executive appointment, where an answer of No is expected and carries no risk.</t>
  </si>
  <si>
    <t>Conflict of interest. (Licensee based)</t>
  </si>
  <si>
    <t>CoL1</t>
  </si>
  <si>
    <t>Are any shares of the Licensee registered in your name?</t>
  </si>
  <si>
    <t>Direct shareholding in the licensee is disclosable and quantifiable; risk rises with size, which the score cannot see.</t>
  </si>
  <si>
    <t>CoL3</t>
  </si>
  <si>
    <t>Are any shares of the Licensee registered in the name of an immediate relative?</t>
  </si>
  <si>
    <t>A relative's holding is one step removed; lower weight than a personal holding.</t>
  </si>
  <si>
    <t>Collective Suitability</t>
  </si>
  <si>
    <t>CS4</t>
  </si>
  <si>
    <t>Have you acquainted yourself with and do you understand the extent of the rights and powers, as well as your responsibilities and duties, as a director, officer or key employee or a proposed director, officer or key employee of the institution for which this questionnaire is being completed, as contained in the applicable law, regulations, and guidelines?</t>
  </si>
  <si>
    <t>An attestation of understanding of duties. Failing it is serious, but it is self-declared and easily remedied.</t>
  </si>
  <si>
    <t>Total</t>
  </si>
  <si>
    <t>Assessment outcome</t>
  </si>
  <si>
    <t>Total applicable weight</t>
  </si>
  <si>
    <t>Sum of weights for questions that were answered (N/A excluded)</t>
  </si>
  <si>
    <t>Total weighted risk</t>
  </si>
  <si>
    <t>Sum of weight × risk flag</t>
  </si>
  <si>
    <t>Normalised risk score (0–1)</t>
  </si>
  <si>
    <t>Weighted risk divided by applicable weight</t>
  </si>
  <si>
    <t>Risk score (0–100)</t>
  </si>
  <si>
    <t>The same figure on a 100 point scale</t>
  </si>
  <si>
    <t>Risk band</t>
  </si>
  <si>
    <t>From the Bands sheet</t>
  </si>
  <si>
    <t>Knock-out triggered</t>
  </si>
  <si>
    <t>A Yes on any knock-out question overrides the band</t>
  </si>
  <si>
    <t>Recommendation</t>
  </si>
  <si>
    <t>Risk bands and knock-out rules</t>
  </si>
  <si>
    <t>Lower score is better. Thresholds are lower bounds; MATCH finds the highest bound not exceeding the score.</t>
  </si>
  <si>
    <t>Lower bound</t>
  </si>
  <si>
    <t>Band</t>
  </si>
  <si>
    <t>Recommended action</t>
  </si>
  <si>
    <t>Low</t>
  </si>
  <si>
    <t>Recommend approval</t>
  </si>
  <si>
    <t>Moderate</t>
  </si>
  <si>
    <t>Approve with conditions or monitoring</t>
  </si>
  <si>
    <t>Elevated</t>
  </si>
  <si>
    <t>Refer for supervisory review</t>
  </si>
  <si>
    <t>High</t>
  </si>
  <si>
    <t>Recommend rejection</t>
  </si>
  <si>
    <t>Knock-out criteria</t>
  </si>
  <si>
    <t>PC1 answered Yes</t>
  </si>
  <si>
    <t>Conviction or civil liability found by a court. The case is referred regardless of the weighted score.</t>
  </si>
  <si>
    <t>Scoring precondition</t>
  </si>
  <si>
    <t>Scoring runs only on a fully authenticated submission. Any mismatch, missing document or unverifiable field is resolved with the filer before the scoring engine is called, so no evidence state reaches this model.</t>
  </si>
  <si>
    <t>Section weights and the split within each section</t>
  </si>
  <si>
    <t>Section weights sum to 100. Within a section, question weights sum to the section weight.</t>
  </si>
  <si>
    <t>Questions</t>
  </si>
  <si>
    <t>Split</t>
  </si>
  <si>
    <t>Why this weight</t>
  </si>
  <si>
    <t>A1, A4</t>
  </si>
  <si>
    <t>A1 = 2.5  /  A4 = 1.5</t>
  </si>
  <si>
    <t>Demographic proxy only. Deliberately the smallest weight; it is in the model because the source questionnaire has it.</t>
  </si>
  <si>
    <t>Q1, Q3</t>
  </si>
  <si>
    <t>Q1 = 6  /  Q3 = 12</t>
  </si>
  <si>
    <t>Competence. Second heaviest, driven almost entirely by depth of relevant experience.</t>
  </si>
  <si>
    <t>PC1, PC19</t>
  </si>
  <si>
    <t>PC1 = 18  /  PC19 = 8</t>
  </si>
  <si>
    <t>Integrity. Heaviest section and the only one carrying a knock-out, since honesty and record are the core of a fit and proper test.</t>
  </si>
  <si>
    <t>FC5, FC7</t>
  </si>
  <si>
    <t>FC5 = 10  /  FC7 = 6</t>
  </si>
  <si>
    <t>Personal financial distress is a recognised driver of misconduct risk and of susceptibility to influence.</t>
  </si>
  <si>
    <t>CoI2, CoI6</t>
  </si>
  <si>
    <t>CoI2 = 5  /  CoI6 = 9</t>
  </si>
  <si>
    <t>External positions and ownership that compete with the licensee's interests.</t>
  </si>
  <si>
    <t>T1, T2</t>
  </si>
  <si>
    <t>T1 = 5  /  T2 = 3</t>
  </si>
  <si>
    <t>Governance capacity. Material for executives, largely inapplicable for non-executives.</t>
  </si>
  <si>
    <t>CoL1, CoL3</t>
  </si>
  <si>
    <t>CoL1 = 5  /  CoL3 = 3</t>
  </si>
  <si>
    <t>Holdings in the licensee itself. Disclosable and manageable, so weighted below external conflicts.</t>
  </si>
  <si>
    <t>CS4 = 6</t>
  </si>
  <si>
    <t>Self-attested understanding of duties. Low weight because it is self-declared.</t>
  </si>
  <si>
    <t>The five test applicants scored against this model</t>
  </si>
  <si>
    <t>Answers are as declared by the filer, before authentication. Compare APP004's declared outcome with its post-authentication outcome in the note below.</t>
  </si>
  <si>
    <t>APP001
Johanna N. Amutenya</t>
  </si>
  <si>
    <t>APP002
Petrus K. Shivute</t>
  </si>
  <si>
    <t>APP003
Elias T. Haufiku</t>
  </si>
  <si>
    <t>APP004
Maria L. van Wyk</t>
  </si>
  <si>
    <t>APP005
Margaret Kaapanda</t>
  </si>
  <si>
    <t>APP001 risk</t>
  </si>
  <si>
    <t>APP002 risk</t>
  </si>
  <si>
    <t>APP003 risk</t>
  </si>
  <si>
    <t>APP004 risk</t>
  </si>
  <si>
    <t>APP005 risk</t>
  </si>
  <si>
    <t>APP001 applicable</t>
  </si>
  <si>
    <t>APP002 applicable</t>
  </si>
  <si>
    <t>APP003 applicable</t>
  </si>
  <si>
    <t>APP004 applicable</t>
  </si>
  <si>
    <t>APP005 applicable</t>
  </si>
  <si>
    <t>Normalised risk score</t>
  </si>
  <si>
    <t>Knock-out (as declared)</t>
  </si>
  <si>
    <t>Note on APP004</t>
  </si>
  <si>
    <t>APP004 declares No to PC1, so no knock-out fires on the declared answers. The police clearance in the test set records a conviction, which the authentication stage returns as a CONTRADICTION. Once PC1 is corrected to Yes at the authentication stage the knock-out fires and the recommendation changes, without any weight being altered. Under the agreed flow that correction happens before scoring is called, so the engine would only ever see the corrected answer — the declared column is shown here for contrast.</t>
  </si>
  <si>
    <t>Design notes, assumptions and departures from the sample model</t>
  </si>
  <si>
    <t>How the score works</t>
  </si>
  <si>
    <t>Each question carries a weight in risk points. An unfavourable answer contributes its full weight; a favourable answer contributes nothing. The normalised score is total weighted risk divided by total applicable weight, so it always lands between 0 and 1 regardless of how many questions were marked N/A. Lower is better.</t>
  </si>
  <si>
    <t>Weights are severity based, not count based</t>
  </si>
  <si>
    <t>Section weights sum to 100 and are set by consequence, not by how many questions a section happens to contain. Within a section the split is deliberately uneven: Q3 carries twice Q1, PC1 carries more than twice PC19. The full list of splits and the reasoning sits on the Section Weights sheet and in the last column of the model.</t>
  </si>
  <si>
    <t>Knock-out criteria sit outside the weighted score</t>
  </si>
  <si>
    <t>A weighted average dilutes severity: on weights alone a conviction produces 0.18, which reads as Moderate. That is the wrong answer. PC1 is therefore a knock-out — a Yes refers the case irrespective of the total. This is normal practice in fit and proper frameworks, where some matters are absolute bars rather than points, and it is the main structural addition to the sample model.</t>
  </si>
  <si>
    <t>Answers are taken as true</t>
  </si>
  <si>
    <t>The scoring engine runs only after every declared value has been authenticated against its evidence. Mismatches, missing documents and unverifiable fields are resolved with the filer before scoring is triggered, so the model carries no evidence-state column and no confidence discount: the Yes/No it receives is treated as settled fact.</t>
  </si>
  <si>
    <t>N/A handling</t>
  </si>
  <si>
    <t>N/A removes a question from both the numerator and the denominator, as in the sample. T2 is the live case: for a non-executive appointment it should be marked N/A rather than No, otherwise the applicant is charged risk for correctly stating they have no executive responsibility. N/A is a property of the appointment type, not an evidence state — it is set when the form is built, before authentication.</t>
  </si>
  <si>
    <t>Two polarity issues inherited from the sample</t>
  </si>
  <si>
    <t>A1 is marked Negative in the source workbook, which scores an applicant aged 45–60 as carrying risk — the opposite of what the question is for. It is set to Positive here. T2 is marked Positive, so a non-executive answering No is charged risk; handled here through N/A. Both are worth raising with whoever owns the source model.</t>
  </si>
  <si>
    <t>Bands</t>
  </si>
  <si>
    <t>Four bands against the 0–1 normalised score: Low to 0.10, Moderate to 0.25, Elevated to 0.45, High above that. The sample's band table runs to 1.60 while its normalised output caps at 1.0, so its top two bands were unreachable. These thresholds are a starting point and should be calibrated against a set of decided cases before they carry any weight in a real decision.</t>
  </si>
  <si>
    <t>What this model cannot see</t>
  </si>
  <si>
    <t>Every question is binary, so magnitude is invisible: a 3% shareholding and a 60% shareholding both score CoL1 the same, and a conviction from 1998 scores as a conviction from last year. Recency, magnitude and mitigation are exactly the things a reviewer adds, which is why the reviewer's feedback loop matters more than another decimal place on the weights.</t>
  </si>
  <si>
    <t>Jurisdiction</t>
  </si>
  <si>
    <t>Question text is verbatim from the source workbook, including the Jamaican references (J$2.5mn, BSA, Section 3(1)(iii)). Replace these before the model is shown to a Namibian audience.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</si>
</sst>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 x14ac:knownFonts="1">
    <font>
      <sz val="11"/>
      <color theme="1"/>
      <name val="Calibri"/>
      <family val="2"/>
      <charset val="1"/>
    </font>
    <font>
      <b/>
      <sz val="13"/>
      <color rgb="FF1F3864"/>
      <name val="Arial"/>
      <charset val="1"/>
    </font>
    <font>
      <sz val="9"/>
      <name val="Arial"/>
      <charset val="1"/>
    </font>
    <font>
      <b/>
      <sz val="10"/>
      <color rgb="FFFFFFFF"/>
      <name val="Arial"/>
      <charset val="1"/>
    </font>
    <font>
      <sz val="10"/>
      <name val="Arial"/>
      <charset val="1"/>
    </font>
    <font>
      <sz val="10"/>
      <color rgb="FF0000FF"/>
      <name val="Arial"/>
      <charset val="1"/>
    </font>
    <font>
      <b/>
      <sz val="10"/>
      <name val="Arial"/>
      <charset val="1"/>
    </font>
  </fonts>
  <fills count="6">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E8EEF7"/>
      </patternFill>
    </fill>
    <fill>
      <patternFill patternType="solid">
        <fgColor rgb="FFE8EEF7"/>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4" fillId="0" borderId="0" xfId="0" applyFont="1" applyAlignment="1">
      <alignment vertical="top" wrapText="1"/>
    </xf>
    <xf numFmtId="0" fontId="2" fillId="0" borderId="0" xfId="0" applyFont="1" applyAlignment="1">
      <alignment vertical="top" wrapText="1"/>
    </xf>
    <xf numFmtId="0" fontId="1" fillId="0" borderId="0" xfId="0" applyFont="1"/>
    <xf numFmtId="0" fontId="2" fillId="0" borderId="0" xfId="0" applyFont="1"/>
    <xf numFmtId="0" fontId="3" fillId="2" borderId="0" xfId="0" applyFont="1" applyFill="1" applyAlignment="1">
      <alignment vertical="center" wrapText="1"/>
    </xf>
    <xf numFmtId="0" fontId="4" fillId="0" borderId="1" xfId="0" applyFont="1" applyBorder="1" applyAlignment="1">
      <alignment vertical="top" wrapText="1"/>
    </xf>
    <xf numFmtId="0" fontId="4" fillId="0" borderId="1" xfId="0" applyFont="1" applyBorder="1" applyAlignment="1">
      <alignment vertical="top"/>
    </xf>
    <xf numFmtId="0" fontId="5" fillId="0" borderId="1" xfId="0" applyFont="1" applyBorder="1" applyAlignment="1">
      <alignment vertical="top"/>
    </xf>
    <xf numFmtId="0" fontId="4" fillId="3" borderId="1" xfId="0" applyFont="1" applyFill="1" applyBorder="1" applyAlignment="1">
      <alignment vertical="top"/>
    </xf>
    <xf numFmtId="0" fontId="4" fillId="4" borderId="1" xfId="0" applyFont="1" applyFill="1" applyBorder="1" applyAlignment="1">
      <alignment vertical="top"/>
    </xf>
    <xf numFmtId="0" fontId="2" fillId="0" borderId="1" xfId="0" applyFont="1" applyBorder="1" applyAlignment="1">
      <alignment vertical="top" wrapText="1"/>
    </xf>
    <xf numFmtId="0" fontId="0" fillId="5" borderId="1" xfId="0" applyFill="1" applyBorder="1"/>
    <xf numFmtId="0" fontId="6" fillId="5" borderId="1" xfId="0" applyFont="1" applyFill="1" applyBorder="1"/>
    <xf numFmtId="0" fontId="6" fillId="0" borderId="0" xfId="0" applyFont="1"/>
    <xf numFmtId="0" fontId="6" fillId="0" borderId="1" xfId="0" applyFont="1" applyBorder="1"/>
    <xf numFmtId="0" fontId="4" fillId="4" borderId="1" xfId="0" applyFont="1" applyFill="1" applyBorder="1"/>
    <xf numFmtId="164" fontId="4" fillId="4" borderId="1" xfId="0" applyNumberFormat="1" applyFont="1" applyFill="1" applyBorder="1"/>
    <xf numFmtId="165" fontId="4" fillId="4" borderId="1" xfId="0" applyNumberFormat="1" applyFont="1" applyFill="1" applyBorder="1"/>
    <xf numFmtId="0" fontId="3" fillId="2" borderId="0" xfId="0" applyFont="1" applyFill="1"/>
    <xf numFmtId="2" fontId="4" fillId="0" borderId="1" xfId="0" applyNumberFormat="1" applyFont="1" applyBorder="1"/>
    <xf numFmtId="0" fontId="4" fillId="0" borderId="1" xfId="0" applyFont="1" applyBorder="1"/>
    <xf numFmtId="0" fontId="2" fillId="0" borderId="0" xfId="0" applyFont="1" applyAlignment="1">
      <alignment vertical="top" wrapText="1"/>
    </xf>
    <xf numFmtId="0" fontId="4" fillId="3" borderId="1" xfId="0" applyFont="1" applyFill="1" applyBorder="1"/>
    <xf numFmtId="164" fontId="6" fillId="5" borderId="1" xfId="0" applyNumberFormat="1" applyFont="1" applyFill="1" applyBorder="1"/>
    <xf numFmtId="165" fontId="6" fillId="5" borderId="1" xfId="0" applyNumberFormat="1"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EE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
  <sheetViews>
    <sheetView tabSelected="1" zoomScale="90" zoomScaleNormal="90" workbookViewId="0">
      <pane xSplit="3" ySplit="4" topLeftCell="D5" activePane="bottomRight" state="frozen"/>
      <selection pane="topRight" activeCell="D1" sqref="D1"/>
      <selection pane="bottomLeft" activeCell="A5" sqref="A5"/>
      <selection pane="bottomRight" activeCell="D16" sqref="D16"/>
    </sheetView>
  </sheetViews>
  <sheetFormatPr defaultColWidth="8.7109375" defaultRowHeight="15" x14ac:dyDescent="0.25"/>
  <cols>
    <col min="1" max="1" width="26" customWidth="1"/>
    <col min="2" max="2" width="11" customWidth="1"/>
    <col min="3" max="3" width="7" customWidth="1"/>
    <col min="4" max="4" width="62" customWidth="1"/>
    <col min="5" max="5" width="9" customWidth="1"/>
    <col min="6" max="6" width="10" customWidth="1"/>
    <col min="7" max="7" width="13" customWidth="1"/>
    <col min="8" max="8" width="8" customWidth="1"/>
    <col min="9" max="10" width="11" customWidth="1"/>
    <col min="11" max="11" width="9" customWidth="1"/>
    <col min="12" max="12" width="58" customWidth="1"/>
  </cols>
  <sheetData>
    <row r="1" spans="1:12" ht="16.5" x14ac:dyDescent="0.25">
      <c r="A1" s="3" t="s">
        <v>0</v>
      </c>
    </row>
    <row r="2" spans="1:12" x14ac:dyDescent="0.25">
      <c r="A2" s="4" t="s">
        <v>1</v>
      </c>
    </row>
    <row r="4" spans="1:12" ht="31.5" customHeight="1" x14ac:dyDescent="0.25">
      <c r="A4" s="5" t="s">
        <v>2</v>
      </c>
      <c r="B4" s="5" t="s">
        <v>3</v>
      </c>
      <c r="C4" s="5" t="s">
        <v>4</v>
      </c>
      <c r="D4" s="5" t="s">
        <v>5</v>
      </c>
      <c r="E4" s="5" t="s">
        <v>6</v>
      </c>
      <c r="F4" s="5" t="s">
        <v>7</v>
      </c>
      <c r="G4" s="5" t="s">
        <v>8</v>
      </c>
      <c r="H4" s="5" t="s">
        <v>9</v>
      </c>
      <c r="I4" s="5" t="s">
        <v>10</v>
      </c>
      <c r="J4" s="5" t="s">
        <v>11</v>
      </c>
      <c r="K4" s="5" t="s">
        <v>12</v>
      </c>
      <c r="L4" s="5" t="s">
        <v>13</v>
      </c>
    </row>
    <row r="5" spans="1:12" ht="24" x14ac:dyDescent="0.25">
      <c r="A5" s="6" t="s">
        <v>14</v>
      </c>
      <c r="B5" s="7">
        <v>4</v>
      </c>
      <c r="C5" s="7" t="s">
        <v>15</v>
      </c>
      <c r="D5" s="6" t="s">
        <v>16</v>
      </c>
      <c r="E5" s="7" t="s">
        <v>17</v>
      </c>
      <c r="F5" s="8">
        <v>2.5</v>
      </c>
      <c r="G5" s="9" t="s">
        <v>18</v>
      </c>
      <c r="H5" s="10">
        <f t="shared" ref="H5:H19" si="0">IF(G5="N/A",0,IF(E5="Positive",IF(G5="Yes",0,1),IF(G5="Yes",1,0)))</f>
        <v>0</v>
      </c>
      <c r="I5" s="10">
        <f t="shared" ref="I5:I19" si="1">IF(G5="N/A",0,F5)</f>
        <v>2.5</v>
      </c>
      <c r="J5" s="10">
        <f t="shared" ref="J5:J19" si="2">H5*I5</f>
        <v>0</v>
      </c>
      <c r="K5" s="7" t="s">
        <v>19</v>
      </c>
      <c r="L5" s="11" t="s">
        <v>20</v>
      </c>
    </row>
    <row r="6" spans="1:12" ht="24" x14ac:dyDescent="0.25">
      <c r="A6" s="6" t="s">
        <v>14</v>
      </c>
      <c r="B6" s="7">
        <v>4</v>
      </c>
      <c r="C6" s="7" t="s">
        <v>21</v>
      </c>
      <c r="D6" s="6" t="s">
        <v>22</v>
      </c>
      <c r="E6" s="7" t="s">
        <v>17</v>
      </c>
      <c r="F6" s="8">
        <v>1.5</v>
      </c>
      <c r="G6" s="9" t="s">
        <v>19</v>
      </c>
      <c r="H6" s="10">
        <f t="shared" si="0"/>
        <v>1</v>
      </c>
      <c r="I6" s="10">
        <f t="shared" si="1"/>
        <v>1.5</v>
      </c>
      <c r="J6" s="10">
        <f t="shared" si="2"/>
        <v>1.5</v>
      </c>
      <c r="K6" s="7" t="s">
        <v>19</v>
      </c>
      <c r="L6" s="11" t="s">
        <v>23</v>
      </c>
    </row>
    <row r="7" spans="1:12" ht="24" x14ac:dyDescent="0.25">
      <c r="A7" s="6" t="s">
        <v>24</v>
      </c>
      <c r="B7" s="7">
        <v>18</v>
      </c>
      <c r="C7" s="7" t="s">
        <v>25</v>
      </c>
      <c r="D7" s="6" t="s">
        <v>26</v>
      </c>
      <c r="E7" s="7" t="s">
        <v>17</v>
      </c>
      <c r="F7" s="8">
        <v>6</v>
      </c>
      <c r="G7" s="9" t="s">
        <v>18</v>
      </c>
      <c r="H7" s="10">
        <f t="shared" si="0"/>
        <v>0</v>
      </c>
      <c r="I7" s="10">
        <f t="shared" si="1"/>
        <v>6</v>
      </c>
      <c r="J7" s="10">
        <f t="shared" si="2"/>
        <v>0</v>
      </c>
      <c r="K7" s="7" t="s">
        <v>19</v>
      </c>
      <c r="L7" s="11" t="s">
        <v>27</v>
      </c>
    </row>
    <row r="8" spans="1:12" ht="24" x14ac:dyDescent="0.25">
      <c r="A8" s="6" t="s">
        <v>24</v>
      </c>
      <c r="B8" s="7">
        <v>18</v>
      </c>
      <c r="C8" s="7" t="s">
        <v>28</v>
      </c>
      <c r="D8" s="6" t="s">
        <v>29</v>
      </c>
      <c r="E8" s="7" t="s">
        <v>17</v>
      </c>
      <c r="F8" s="8">
        <v>12</v>
      </c>
      <c r="G8" s="9" t="s">
        <v>18</v>
      </c>
      <c r="H8" s="10">
        <f t="shared" si="0"/>
        <v>0</v>
      </c>
      <c r="I8" s="10">
        <f t="shared" si="1"/>
        <v>12</v>
      </c>
      <c r="J8" s="10">
        <f t="shared" si="2"/>
        <v>0</v>
      </c>
      <c r="K8" s="7" t="s">
        <v>19</v>
      </c>
      <c r="L8" s="11" t="s">
        <v>30</v>
      </c>
    </row>
    <row r="9" spans="1:12" ht="38.25" x14ac:dyDescent="0.25">
      <c r="A9" s="6" t="s">
        <v>31</v>
      </c>
      <c r="B9" s="7">
        <v>26</v>
      </c>
      <c r="C9" s="7" t="s">
        <v>32</v>
      </c>
      <c r="D9" s="6" t="s">
        <v>33</v>
      </c>
      <c r="E9" s="7" t="s">
        <v>34</v>
      </c>
      <c r="F9" s="8">
        <v>18</v>
      </c>
      <c r="G9" s="9" t="s">
        <v>19</v>
      </c>
      <c r="H9" s="10">
        <f t="shared" si="0"/>
        <v>0</v>
      </c>
      <c r="I9" s="10">
        <f t="shared" si="1"/>
        <v>18</v>
      </c>
      <c r="J9" s="10">
        <f t="shared" si="2"/>
        <v>0</v>
      </c>
      <c r="K9" s="7" t="s">
        <v>18</v>
      </c>
      <c r="L9" s="11" t="s">
        <v>35</v>
      </c>
    </row>
    <row r="10" spans="1:12" ht="38.25" x14ac:dyDescent="0.25">
      <c r="A10" s="6" t="s">
        <v>31</v>
      </c>
      <c r="B10" s="7">
        <v>26</v>
      </c>
      <c r="C10" s="7" t="s">
        <v>36</v>
      </c>
      <c r="D10" s="6" t="s">
        <v>37</v>
      </c>
      <c r="E10" s="7" t="s">
        <v>34</v>
      </c>
      <c r="F10" s="8">
        <v>8</v>
      </c>
      <c r="G10" s="9" t="s">
        <v>19</v>
      </c>
      <c r="H10" s="10">
        <f t="shared" si="0"/>
        <v>0</v>
      </c>
      <c r="I10" s="10">
        <f t="shared" si="1"/>
        <v>8</v>
      </c>
      <c r="J10" s="10">
        <f t="shared" si="2"/>
        <v>0</v>
      </c>
      <c r="K10" s="7" t="s">
        <v>19</v>
      </c>
      <c r="L10" s="11" t="s">
        <v>38</v>
      </c>
    </row>
    <row r="11" spans="1:12" ht="51" x14ac:dyDescent="0.25">
      <c r="A11" s="6" t="s">
        <v>39</v>
      </c>
      <c r="B11" s="7">
        <v>16</v>
      </c>
      <c r="C11" s="7" t="s">
        <v>40</v>
      </c>
      <c r="D11" s="6" t="s">
        <v>41</v>
      </c>
      <c r="E11" s="7" t="s">
        <v>34</v>
      </c>
      <c r="F11" s="8">
        <v>10</v>
      </c>
      <c r="G11" s="9" t="s">
        <v>19</v>
      </c>
      <c r="H11" s="10">
        <f t="shared" si="0"/>
        <v>0</v>
      </c>
      <c r="I11" s="10">
        <f t="shared" si="1"/>
        <v>10</v>
      </c>
      <c r="J11" s="10">
        <f t="shared" si="2"/>
        <v>0</v>
      </c>
      <c r="K11" s="7" t="s">
        <v>19</v>
      </c>
      <c r="L11" s="11" t="s">
        <v>42</v>
      </c>
    </row>
    <row r="12" spans="1:12" ht="51" x14ac:dyDescent="0.25">
      <c r="A12" s="6" t="s">
        <v>39</v>
      </c>
      <c r="B12" s="7">
        <v>16</v>
      </c>
      <c r="C12" s="7" t="s">
        <v>43</v>
      </c>
      <c r="D12" s="6" t="s">
        <v>44</v>
      </c>
      <c r="E12" s="7" t="s">
        <v>34</v>
      </c>
      <c r="F12" s="8">
        <v>6</v>
      </c>
      <c r="G12" s="9" t="s">
        <v>19</v>
      </c>
      <c r="H12" s="10">
        <f t="shared" si="0"/>
        <v>0</v>
      </c>
      <c r="I12" s="10">
        <f t="shared" si="1"/>
        <v>6</v>
      </c>
      <c r="J12" s="10">
        <f t="shared" si="2"/>
        <v>0</v>
      </c>
      <c r="K12" s="7" t="s">
        <v>19</v>
      </c>
      <c r="L12" s="11" t="s">
        <v>45</v>
      </c>
    </row>
    <row r="13" spans="1:12" ht="38.25" x14ac:dyDescent="0.25">
      <c r="A13" s="6" t="s">
        <v>46</v>
      </c>
      <c r="B13" s="7">
        <v>14</v>
      </c>
      <c r="C13" s="7" t="s">
        <v>47</v>
      </c>
      <c r="D13" s="6" t="s">
        <v>48</v>
      </c>
      <c r="E13" s="7" t="s">
        <v>34</v>
      </c>
      <c r="F13" s="8">
        <v>5</v>
      </c>
      <c r="G13" s="9" t="s">
        <v>18</v>
      </c>
      <c r="H13" s="10">
        <f t="shared" si="0"/>
        <v>1</v>
      </c>
      <c r="I13" s="10">
        <f t="shared" si="1"/>
        <v>5</v>
      </c>
      <c r="J13" s="10">
        <f t="shared" si="2"/>
        <v>5</v>
      </c>
      <c r="K13" s="7" t="s">
        <v>19</v>
      </c>
      <c r="L13" s="11" t="s">
        <v>49</v>
      </c>
    </row>
    <row r="14" spans="1:12" ht="51" x14ac:dyDescent="0.25">
      <c r="A14" s="6" t="s">
        <v>46</v>
      </c>
      <c r="B14" s="7">
        <v>14</v>
      </c>
      <c r="C14" s="7" t="s">
        <v>50</v>
      </c>
      <c r="D14" s="6" t="s">
        <v>51</v>
      </c>
      <c r="E14" s="7" t="s">
        <v>34</v>
      </c>
      <c r="F14" s="8">
        <v>9</v>
      </c>
      <c r="G14" s="9" t="s">
        <v>19</v>
      </c>
      <c r="H14" s="10">
        <f t="shared" si="0"/>
        <v>0</v>
      </c>
      <c r="I14" s="10">
        <f t="shared" si="1"/>
        <v>9</v>
      </c>
      <c r="J14" s="10">
        <f t="shared" si="2"/>
        <v>0</v>
      </c>
      <c r="K14" s="7" t="s">
        <v>19</v>
      </c>
      <c r="L14" s="11" t="s">
        <v>52</v>
      </c>
    </row>
    <row r="15" spans="1:12" ht="38.25" x14ac:dyDescent="0.25">
      <c r="A15" s="6" t="s">
        <v>53</v>
      </c>
      <c r="B15" s="7">
        <v>8</v>
      </c>
      <c r="C15" s="7" t="s">
        <v>54</v>
      </c>
      <c r="D15" s="6" t="s">
        <v>55</v>
      </c>
      <c r="E15" s="7" t="s">
        <v>17</v>
      </c>
      <c r="F15" s="8">
        <v>5</v>
      </c>
      <c r="G15" s="9" t="s">
        <v>19</v>
      </c>
      <c r="H15" s="10">
        <f t="shared" si="0"/>
        <v>1</v>
      </c>
      <c r="I15" s="10">
        <f t="shared" si="1"/>
        <v>5</v>
      </c>
      <c r="J15" s="10">
        <f t="shared" si="2"/>
        <v>5</v>
      </c>
      <c r="K15" s="7" t="s">
        <v>19</v>
      </c>
      <c r="L15" s="11" t="s">
        <v>56</v>
      </c>
    </row>
    <row r="16" spans="1:12" ht="38.25" x14ac:dyDescent="0.25">
      <c r="A16" s="6" t="s">
        <v>53</v>
      </c>
      <c r="B16" s="7">
        <v>8</v>
      </c>
      <c r="C16" s="7" t="s">
        <v>57</v>
      </c>
      <c r="D16" s="6" t="s">
        <v>58</v>
      </c>
      <c r="E16" s="7" t="s">
        <v>17</v>
      </c>
      <c r="F16" s="8">
        <v>3</v>
      </c>
      <c r="G16" s="9" t="s">
        <v>59</v>
      </c>
      <c r="H16" s="10">
        <f t="shared" si="0"/>
        <v>0</v>
      </c>
      <c r="I16" s="10">
        <f t="shared" si="1"/>
        <v>0</v>
      </c>
      <c r="J16" s="10">
        <f t="shared" si="2"/>
        <v>0</v>
      </c>
      <c r="K16" s="7" t="s">
        <v>19</v>
      </c>
      <c r="L16" s="11" t="s">
        <v>60</v>
      </c>
    </row>
    <row r="17" spans="1:12" ht="25.5" x14ac:dyDescent="0.25">
      <c r="A17" s="6" t="s">
        <v>61</v>
      </c>
      <c r="B17" s="7">
        <v>8</v>
      </c>
      <c r="C17" s="7" t="s">
        <v>62</v>
      </c>
      <c r="D17" s="6" t="s">
        <v>63</v>
      </c>
      <c r="E17" s="7" t="s">
        <v>34</v>
      </c>
      <c r="F17" s="8">
        <v>5</v>
      </c>
      <c r="G17" s="9" t="s">
        <v>19</v>
      </c>
      <c r="H17" s="10">
        <f t="shared" si="0"/>
        <v>0</v>
      </c>
      <c r="I17" s="10">
        <f t="shared" si="1"/>
        <v>5</v>
      </c>
      <c r="J17" s="10">
        <f t="shared" si="2"/>
        <v>0</v>
      </c>
      <c r="K17" s="7" t="s">
        <v>19</v>
      </c>
      <c r="L17" s="11" t="s">
        <v>64</v>
      </c>
    </row>
    <row r="18" spans="1:12" ht="25.5" x14ac:dyDescent="0.25">
      <c r="A18" s="6" t="s">
        <v>61</v>
      </c>
      <c r="B18" s="7">
        <v>8</v>
      </c>
      <c r="C18" s="7" t="s">
        <v>65</v>
      </c>
      <c r="D18" s="6" t="s">
        <v>66</v>
      </c>
      <c r="E18" s="7" t="s">
        <v>34</v>
      </c>
      <c r="F18" s="8">
        <v>3</v>
      </c>
      <c r="G18" s="9" t="s">
        <v>19</v>
      </c>
      <c r="H18" s="10">
        <f t="shared" si="0"/>
        <v>0</v>
      </c>
      <c r="I18" s="10">
        <f t="shared" si="1"/>
        <v>3</v>
      </c>
      <c r="J18" s="10">
        <f t="shared" si="2"/>
        <v>0</v>
      </c>
      <c r="K18" s="7" t="s">
        <v>19</v>
      </c>
      <c r="L18" s="11" t="s">
        <v>67</v>
      </c>
    </row>
    <row r="19" spans="1:12" ht="76.5" x14ac:dyDescent="0.25">
      <c r="A19" s="6" t="s">
        <v>68</v>
      </c>
      <c r="B19" s="7">
        <v>6</v>
      </c>
      <c r="C19" s="7" t="s">
        <v>69</v>
      </c>
      <c r="D19" s="6" t="s">
        <v>70</v>
      </c>
      <c r="E19" s="7" t="s">
        <v>17</v>
      </c>
      <c r="F19" s="8">
        <v>6</v>
      </c>
      <c r="G19" s="9" t="s">
        <v>18</v>
      </c>
      <c r="H19" s="10">
        <f t="shared" si="0"/>
        <v>0</v>
      </c>
      <c r="I19" s="10">
        <f t="shared" si="1"/>
        <v>6</v>
      </c>
      <c r="J19" s="10">
        <f t="shared" si="2"/>
        <v>0</v>
      </c>
      <c r="K19" s="7" t="s">
        <v>19</v>
      </c>
      <c r="L19" s="11" t="s">
        <v>71</v>
      </c>
    </row>
    <row r="20" spans="1:12" x14ac:dyDescent="0.25">
      <c r="A20" s="12"/>
      <c r="B20" s="12"/>
      <c r="C20" s="12"/>
      <c r="D20" s="13" t="s">
        <v>72</v>
      </c>
      <c r="E20" s="12"/>
      <c r="F20" s="13">
        <f>SUM(F5:F19)</f>
        <v>100</v>
      </c>
      <c r="G20" s="12"/>
      <c r="H20" s="12"/>
      <c r="I20" s="13">
        <f>SUM(I5:I19)</f>
        <v>97</v>
      </c>
      <c r="J20" s="13">
        <f>SUM(J5:J19)</f>
        <v>11.5</v>
      </c>
      <c r="K20" s="12"/>
      <c r="L20" s="12"/>
    </row>
    <row r="21" spans="1:12" x14ac:dyDescent="0.25">
      <c r="A21" s="14" t="s">
        <v>73</v>
      </c>
    </row>
    <row r="22" spans="1:12" x14ac:dyDescent="0.25">
      <c r="A22" s="15" t="s">
        <v>74</v>
      </c>
      <c r="B22" s="16">
        <f>I20</f>
        <v>97</v>
      </c>
      <c r="C22" s="4" t="s">
        <v>75</v>
      </c>
    </row>
    <row r="23" spans="1:12" x14ac:dyDescent="0.25">
      <c r="A23" s="15" t="s">
        <v>76</v>
      </c>
      <c r="B23" s="16">
        <f>J20</f>
        <v>11.5</v>
      </c>
      <c r="C23" s="4" t="s">
        <v>77</v>
      </c>
    </row>
    <row r="24" spans="1:12" x14ac:dyDescent="0.25">
      <c r="A24" s="15" t="s">
        <v>78</v>
      </c>
      <c r="B24" s="17">
        <f>IFERROR(B23/B22,0)</f>
        <v>0.11855670103092783</v>
      </c>
      <c r="C24" s="4" t="s">
        <v>79</v>
      </c>
    </row>
    <row r="25" spans="1:12" x14ac:dyDescent="0.25">
      <c r="A25" s="15" t="s">
        <v>80</v>
      </c>
      <c r="B25" s="18">
        <f>B24*100</f>
        <v>11.855670103092782</v>
      </c>
      <c r="C25" s="4" t="s">
        <v>81</v>
      </c>
    </row>
    <row r="26" spans="1:12" x14ac:dyDescent="0.25">
      <c r="A26" s="15" t="s">
        <v>82</v>
      </c>
      <c r="B26" s="16" t="str">
        <f>INDEX(Bands!$B$4:$B$7,MATCH(B24,Bands!$A$4:$A$7,1))</f>
        <v>Moderate</v>
      </c>
      <c r="C26" s="4" t="s">
        <v>83</v>
      </c>
    </row>
    <row r="27" spans="1:12" x14ac:dyDescent="0.25">
      <c r="A27" s="15" t="s">
        <v>84</v>
      </c>
      <c r="B27" s="16" t="str">
        <f>IF(SUMPRODUCT((K5:K19="Yes")*(H5:H19=1))&gt;0,"Yes","No")</f>
        <v>No</v>
      </c>
      <c r="C27" s="4" t="s">
        <v>85</v>
      </c>
    </row>
    <row r="28" spans="1:12" x14ac:dyDescent="0.25">
      <c r="A28" s="15" t="s">
        <v>86</v>
      </c>
      <c r="B28" s="16" t="str">
        <f>IF(B27="Yes","Refer to committee — knock-out criterion met",INDEX(Bands!$C$4:$C$7,MATCH(B24,Bands!$A$4:$A$7,1)))</f>
        <v>Approve with conditions or monitoring</v>
      </c>
      <c r="C28" s="4"/>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zoomScaleNormal="100" workbookViewId="0">
      <selection activeCell="B17" sqref="B17"/>
    </sheetView>
  </sheetViews>
  <sheetFormatPr defaultColWidth="8.7109375" defaultRowHeight="15" x14ac:dyDescent="0.25"/>
  <cols>
    <col min="1" max="1" width="34" customWidth="1"/>
    <col min="2" max="2" width="78" customWidth="1"/>
    <col min="3" max="3" width="40" customWidth="1"/>
  </cols>
  <sheetData>
    <row r="1" spans="1:3" ht="16.5" x14ac:dyDescent="0.25">
      <c r="A1" s="3" t="s">
        <v>87</v>
      </c>
    </row>
    <row r="2" spans="1:3" x14ac:dyDescent="0.25">
      <c r="A2" s="4" t="s">
        <v>88</v>
      </c>
    </row>
    <row r="3" spans="1:3" x14ac:dyDescent="0.25">
      <c r="A3" s="19" t="s">
        <v>89</v>
      </c>
      <c r="B3" s="19" t="s">
        <v>90</v>
      </c>
      <c r="C3" s="19" t="s">
        <v>91</v>
      </c>
    </row>
    <row r="4" spans="1:3" x14ac:dyDescent="0.25">
      <c r="A4" s="20">
        <v>0</v>
      </c>
      <c r="B4" s="21" t="s">
        <v>92</v>
      </c>
      <c r="C4" s="21" t="s">
        <v>93</v>
      </c>
    </row>
    <row r="5" spans="1:3" x14ac:dyDescent="0.25">
      <c r="A5" s="20">
        <v>0.1</v>
      </c>
      <c r="B5" s="21" t="s">
        <v>94</v>
      </c>
      <c r="C5" s="21" t="s">
        <v>95</v>
      </c>
    </row>
    <row r="6" spans="1:3" x14ac:dyDescent="0.25">
      <c r="A6" s="20">
        <v>0.25</v>
      </c>
      <c r="B6" s="21" t="s">
        <v>96</v>
      </c>
      <c r="C6" s="21" t="s">
        <v>97</v>
      </c>
    </row>
    <row r="7" spans="1:3" x14ac:dyDescent="0.25">
      <c r="A7" s="20">
        <v>0.45</v>
      </c>
      <c r="B7" s="21" t="s">
        <v>98</v>
      </c>
      <c r="C7" s="21" t="s">
        <v>99</v>
      </c>
    </row>
    <row r="9" spans="1:3" x14ac:dyDescent="0.25">
      <c r="A9" s="14" t="s">
        <v>100</v>
      </c>
    </row>
    <row r="10" spans="1:3" ht="27.75" customHeight="1" x14ac:dyDescent="0.25">
      <c r="A10" s="14" t="s">
        <v>101</v>
      </c>
      <c r="B10" s="22" t="s">
        <v>102</v>
      </c>
    </row>
    <row r="11" spans="1:3" ht="27.75" customHeight="1" x14ac:dyDescent="0.25">
      <c r="A11" s="14" t="s">
        <v>103</v>
      </c>
      <c r="B11" s="22" t="s">
        <v>104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
  <sheetViews>
    <sheetView zoomScaleNormal="100" workbookViewId="0">
      <selection activeCell="C15" sqref="C15"/>
    </sheetView>
  </sheetViews>
  <sheetFormatPr defaultColWidth="8.7109375" defaultRowHeight="15" x14ac:dyDescent="0.25"/>
  <cols>
    <col min="1" max="1" width="40" customWidth="1"/>
    <col min="2" max="2" width="13" customWidth="1"/>
    <col min="3" max="3" width="16" customWidth="1"/>
    <col min="4" max="4" width="26" customWidth="1"/>
    <col min="5" max="5" width="80" customWidth="1"/>
  </cols>
  <sheetData>
    <row r="1" spans="1:5" ht="16.5" x14ac:dyDescent="0.25">
      <c r="A1" s="3" t="s">
        <v>105</v>
      </c>
    </row>
    <row r="2" spans="1:5" x14ac:dyDescent="0.25">
      <c r="A2" s="4" t="s">
        <v>106</v>
      </c>
    </row>
    <row r="3" spans="1:5" x14ac:dyDescent="0.25">
      <c r="A3" s="19" t="s">
        <v>2</v>
      </c>
      <c r="B3" s="19" t="s">
        <v>3</v>
      </c>
      <c r="C3" s="19" t="s">
        <v>107</v>
      </c>
      <c r="D3" s="19" t="s">
        <v>108</v>
      </c>
      <c r="E3" s="19" t="s">
        <v>109</v>
      </c>
    </row>
    <row r="4" spans="1:5" ht="24" x14ac:dyDescent="0.25">
      <c r="A4" s="6" t="s">
        <v>14</v>
      </c>
      <c r="B4" s="7">
        <v>4</v>
      </c>
      <c r="C4" s="7" t="s">
        <v>110</v>
      </c>
      <c r="D4" s="7" t="s">
        <v>111</v>
      </c>
      <c r="E4" s="11" t="s">
        <v>112</v>
      </c>
    </row>
    <row r="5" spans="1:5" x14ac:dyDescent="0.25">
      <c r="A5" s="6" t="s">
        <v>24</v>
      </c>
      <c r="B5" s="7">
        <v>18</v>
      </c>
      <c r="C5" s="7" t="s">
        <v>113</v>
      </c>
      <c r="D5" s="7" t="s">
        <v>114</v>
      </c>
      <c r="E5" s="11" t="s">
        <v>115</v>
      </c>
    </row>
    <row r="6" spans="1:5" ht="24" x14ac:dyDescent="0.25">
      <c r="A6" s="6" t="s">
        <v>31</v>
      </c>
      <c r="B6" s="7">
        <v>26</v>
      </c>
      <c r="C6" s="7" t="s">
        <v>116</v>
      </c>
      <c r="D6" s="7" t="s">
        <v>117</v>
      </c>
      <c r="E6" s="11" t="s">
        <v>118</v>
      </c>
    </row>
    <row r="7" spans="1:5" ht="24" x14ac:dyDescent="0.25">
      <c r="A7" s="6" t="s">
        <v>39</v>
      </c>
      <c r="B7" s="7">
        <v>16</v>
      </c>
      <c r="C7" s="7" t="s">
        <v>119</v>
      </c>
      <c r="D7" s="7" t="s">
        <v>120</v>
      </c>
      <c r="E7" s="11" t="s">
        <v>121</v>
      </c>
    </row>
    <row r="8" spans="1:5" x14ac:dyDescent="0.25">
      <c r="A8" s="6" t="s">
        <v>46</v>
      </c>
      <c r="B8" s="7">
        <v>14</v>
      </c>
      <c r="C8" s="7" t="s">
        <v>122</v>
      </c>
      <c r="D8" s="7" t="s">
        <v>123</v>
      </c>
      <c r="E8" s="11" t="s">
        <v>124</v>
      </c>
    </row>
    <row r="9" spans="1:5" x14ac:dyDescent="0.25">
      <c r="A9" s="6" t="s">
        <v>53</v>
      </c>
      <c r="B9" s="7">
        <v>8</v>
      </c>
      <c r="C9" s="7" t="s">
        <v>125</v>
      </c>
      <c r="D9" s="7" t="s">
        <v>126</v>
      </c>
      <c r="E9" s="11" t="s">
        <v>127</v>
      </c>
    </row>
    <row r="10" spans="1:5" ht="24" x14ac:dyDescent="0.25">
      <c r="A10" s="6" t="s">
        <v>61</v>
      </c>
      <c r="B10" s="7">
        <v>8</v>
      </c>
      <c r="C10" s="7" t="s">
        <v>128</v>
      </c>
      <c r="D10" s="7" t="s">
        <v>129</v>
      </c>
      <c r="E10" s="11" t="s">
        <v>130</v>
      </c>
    </row>
    <row r="11" spans="1:5" x14ac:dyDescent="0.25">
      <c r="A11" s="6" t="s">
        <v>68</v>
      </c>
      <c r="B11" s="7">
        <v>6</v>
      </c>
      <c r="C11" s="7" t="s">
        <v>69</v>
      </c>
      <c r="D11" s="7" t="s">
        <v>131</v>
      </c>
      <c r="E11" s="11" t="s">
        <v>132</v>
      </c>
    </row>
    <row r="12" spans="1:5" x14ac:dyDescent="0.25">
      <c r="A12" s="14" t="s">
        <v>72</v>
      </c>
      <c r="B12" s="14">
        <f>SUM(B4:B11)</f>
        <v>100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0"/>
  <sheetViews>
    <sheetView zoomScaleNormal="100" workbookViewId="0">
      <selection activeCell="G9" sqref="G9"/>
    </sheetView>
  </sheetViews>
  <sheetFormatPr defaultColWidth="8.7109375" defaultRowHeight="15" x14ac:dyDescent="0.25"/>
  <cols>
    <col min="1" max="1" width="26" customWidth="1"/>
    <col min="2" max="17" width="14" customWidth="1"/>
  </cols>
  <sheetData>
    <row r="1" spans="1:17" ht="16.5" x14ac:dyDescent="0.25">
      <c r="A1" s="3" t="s">
        <v>133</v>
      </c>
    </row>
    <row r="2" spans="1:17" x14ac:dyDescent="0.25">
      <c r="A2" s="4" t="s">
        <v>134</v>
      </c>
    </row>
    <row r="4" spans="1:17" ht="33.75" customHeight="1" x14ac:dyDescent="0.25">
      <c r="A4" s="5" t="s">
        <v>4</v>
      </c>
      <c r="B4" s="5" t="s">
        <v>7</v>
      </c>
      <c r="C4" s="5" t="s">
        <v>135</v>
      </c>
      <c r="D4" s="5" t="s">
        <v>136</v>
      </c>
      <c r="E4" s="5" t="s">
        <v>137</v>
      </c>
      <c r="F4" s="5" t="s">
        <v>138</v>
      </c>
      <c r="G4" s="5" t="s">
        <v>139</v>
      </c>
      <c r="H4" s="5" t="s">
        <v>140</v>
      </c>
      <c r="I4" s="5" t="s">
        <v>141</v>
      </c>
      <c r="J4" s="5" t="s">
        <v>142</v>
      </c>
      <c r="K4" s="5" t="s">
        <v>143</v>
      </c>
      <c r="L4" s="5" t="s">
        <v>144</v>
      </c>
      <c r="M4" s="5" t="s">
        <v>145</v>
      </c>
      <c r="N4" s="5" t="s">
        <v>146</v>
      </c>
      <c r="O4" s="5" t="s">
        <v>147</v>
      </c>
      <c r="P4" s="5" t="s">
        <v>148</v>
      </c>
      <c r="Q4" s="5" t="s">
        <v>149</v>
      </c>
    </row>
    <row r="5" spans="1:17" x14ac:dyDescent="0.25">
      <c r="A5" s="21" t="s">
        <v>15</v>
      </c>
      <c r="B5" s="21">
        <f>'Scoring Model'!F5</f>
        <v>2.5</v>
      </c>
      <c r="C5" s="23" t="s">
        <v>18</v>
      </c>
      <c r="D5" s="23" t="s">
        <v>19</v>
      </c>
      <c r="E5" s="23" t="s">
        <v>18</v>
      </c>
      <c r="F5" s="23" t="s">
        <v>18</v>
      </c>
      <c r="G5" s="23" t="s">
        <v>19</v>
      </c>
      <c r="H5" s="16">
        <f>IF(C5="N/A",0,IF('Scoring Model'!$E5="Positive",IF(C5="Yes",0,1),IF(C5="Yes",1,0)))*IF(C5="N/A",0,'Scoring Model'!$F5)</f>
        <v>0</v>
      </c>
      <c r="I5" s="16">
        <f>IF(D5="N/A",0,IF('Scoring Model'!$E5="Positive",IF(D5="Yes",0,1),IF(D5="Yes",1,0)))*IF(D5="N/A",0,'Scoring Model'!$F5)</f>
        <v>2.5</v>
      </c>
      <c r="J5" s="16">
        <f>IF(E5="N/A",0,IF('Scoring Model'!$E5="Positive",IF(E5="Yes",0,1),IF(E5="Yes",1,0)))*IF(E5="N/A",0,'Scoring Model'!$F5)</f>
        <v>0</v>
      </c>
      <c r="K5" s="16">
        <f>IF(F5="N/A",0,IF('Scoring Model'!$E5="Positive",IF(F5="Yes",0,1),IF(F5="Yes",1,0)))*IF(F5="N/A",0,'Scoring Model'!$F5)</f>
        <v>0</v>
      </c>
      <c r="L5" s="16">
        <f>IF(G5="N/A",0,IF('Scoring Model'!$E5="Positive",IF(G5="Yes",0,1),IF(G5="Yes",1,0)))*IF(G5="N/A",0,'Scoring Model'!$F5)</f>
        <v>2.5</v>
      </c>
      <c r="M5" s="16">
        <f>IF(C5="N/A",0,'Scoring Model'!$F5)</f>
        <v>2.5</v>
      </c>
      <c r="N5" s="16">
        <f>IF(D5="N/A",0,'Scoring Model'!$F5)</f>
        <v>2.5</v>
      </c>
      <c r="O5" s="16">
        <f>IF(E5="N/A",0,'Scoring Model'!$F5)</f>
        <v>2.5</v>
      </c>
      <c r="P5" s="16">
        <f>IF(F5="N/A",0,'Scoring Model'!$F5)</f>
        <v>2.5</v>
      </c>
      <c r="Q5" s="16">
        <f>IF(G5="N/A",0,'Scoring Model'!$F5)</f>
        <v>2.5</v>
      </c>
    </row>
    <row r="6" spans="1:17" x14ac:dyDescent="0.25">
      <c r="A6" s="21" t="s">
        <v>21</v>
      </c>
      <c r="B6" s="21">
        <f>'Scoring Model'!F6</f>
        <v>1.5</v>
      </c>
      <c r="C6" s="23" t="s">
        <v>19</v>
      </c>
      <c r="D6" s="23" t="s">
        <v>19</v>
      </c>
      <c r="E6" s="23" t="s">
        <v>18</v>
      </c>
      <c r="F6" s="23" t="s">
        <v>19</v>
      </c>
      <c r="G6" s="23" t="s">
        <v>19</v>
      </c>
      <c r="H6" s="16">
        <f>IF(C6="N/A",0,IF('Scoring Model'!$E6="Positive",IF(C6="Yes",0,1),IF(C6="Yes",1,0)))*IF(C6="N/A",0,'Scoring Model'!$F6)</f>
        <v>1.5</v>
      </c>
      <c r="I6" s="16">
        <f>IF(D6="N/A",0,IF('Scoring Model'!$E6="Positive",IF(D6="Yes",0,1),IF(D6="Yes",1,0)))*IF(D6="N/A",0,'Scoring Model'!$F6)</f>
        <v>1.5</v>
      </c>
      <c r="J6" s="16">
        <f>IF(E6="N/A",0,IF('Scoring Model'!$E6="Positive",IF(E6="Yes",0,1),IF(E6="Yes",1,0)))*IF(E6="N/A",0,'Scoring Model'!$F6)</f>
        <v>0</v>
      </c>
      <c r="K6" s="16">
        <f>IF(F6="N/A",0,IF('Scoring Model'!$E6="Positive",IF(F6="Yes",0,1),IF(F6="Yes",1,0)))*IF(F6="N/A",0,'Scoring Model'!$F6)</f>
        <v>1.5</v>
      </c>
      <c r="L6" s="16">
        <f>IF(G6="N/A",0,IF('Scoring Model'!$E6="Positive",IF(G6="Yes",0,1),IF(G6="Yes",1,0)))*IF(G6="N/A",0,'Scoring Model'!$F6)</f>
        <v>1.5</v>
      </c>
      <c r="M6" s="16">
        <f>IF(C6="N/A",0,'Scoring Model'!$F6)</f>
        <v>1.5</v>
      </c>
      <c r="N6" s="16">
        <f>IF(D6="N/A",0,'Scoring Model'!$F6)</f>
        <v>1.5</v>
      </c>
      <c r="O6" s="16">
        <f>IF(E6="N/A",0,'Scoring Model'!$F6)</f>
        <v>1.5</v>
      </c>
      <c r="P6" s="16">
        <f>IF(F6="N/A",0,'Scoring Model'!$F6)</f>
        <v>1.5</v>
      </c>
      <c r="Q6" s="16">
        <f>IF(G6="N/A",0,'Scoring Model'!$F6)</f>
        <v>1.5</v>
      </c>
    </row>
    <row r="7" spans="1:17" x14ac:dyDescent="0.25">
      <c r="A7" s="21" t="s">
        <v>25</v>
      </c>
      <c r="B7" s="21">
        <f>'Scoring Model'!F7</f>
        <v>6</v>
      </c>
      <c r="C7" s="23" t="s">
        <v>18</v>
      </c>
      <c r="D7" s="23" t="s">
        <v>18</v>
      </c>
      <c r="E7" s="23" t="s">
        <v>18</v>
      </c>
      <c r="F7" s="23" t="s">
        <v>18</v>
      </c>
      <c r="G7" s="23" t="s">
        <v>18</v>
      </c>
      <c r="H7" s="16">
        <f>IF(C7="N/A",0,IF('Scoring Model'!$E7="Positive",IF(C7="Yes",0,1),IF(C7="Yes",1,0)))*IF(C7="N/A",0,'Scoring Model'!$F7)</f>
        <v>0</v>
      </c>
      <c r="I7" s="16">
        <f>IF(D7="N/A",0,IF('Scoring Model'!$E7="Positive",IF(D7="Yes",0,1),IF(D7="Yes",1,0)))*IF(D7="N/A",0,'Scoring Model'!$F7)</f>
        <v>0</v>
      </c>
      <c r="J7" s="16">
        <f>IF(E7="N/A",0,IF('Scoring Model'!$E7="Positive",IF(E7="Yes",0,1),IF(E7="Yes",1,0)))*IF(E7="N/A",0,'Scoring Model'!$F7)</f>
        <v>0</v>
      </c>
      <c r="K7" s="16">
        <f>IF(F7="N/A",0,IF('Scoring Model'!$E7="Positive",IF(F7="Yes",0,1),IF(F7="Yes",1,0)))*IF(F7="N/A",0,'Scoring Model'!$F7)</f>
        <v>0</v>
      </c>
      <c r="L7" s="16">
        <f>IF(G7="N/A",0,IF('Scoring Model'!$E7="Positive",IF(G7="Yes",0,1),IF(G7="Yes",1,0)))*IF(G7="N/A",0,'Scoring Model'!$F7)</f>
        <v>0</v>
      </c>
      <c r="M7" s="16">
        <f>IF(C7="N/A",0,'Scoring Model'!$F7)</f>
        <v>6</v>
      </c>
      <c r="N7" s="16">
        <f>IF(D7="N/A",0,'Scoring Model'!$F7)</f>
        <v>6</v>
      </c>
      <c r="O7" s="16">
        <f>IF(E7="N/A",0,'Scoring Model'!$F7)</f>
        <v>6</v>
      </c>
      <c r="P7" s="16">
        <f>IF(F7="N/A",0,'Scoring Model'!$F7)</f>
        <v>6</v>
      </c>
      <c r="Q7" s="16">
        <f>IF(G7="N/A",0,'Scoring Model'!$F7)</f>
        <v>6</v>
      </c>
    </row>
    <row r="8" spans="1:17" x14ac:dyDescent="0.25">
      <c r="A8" s="21" t="s">
        <v>28</v>
      </c>
      <c r="B8" s="21">
        <f>'Scoring Model'!F8</f>
        <v>12</v>
      </c>
      <c r="C8" s="23" t="s">
        <v>18</v>
      </c>
      <c r="D8" s="23" t="s">
        <v>18</v>
      </c>
      <c r="E8" s="23" t="s">
        <v>18</v>
      </c>
      <c r="F8" s="23" t="s">
        <v>18</v>
      </c>
      <c r="G8" s="23" t="s">
        <v>18</v>
      </c>
      <c r="H8" s="16">
        <f>IF(C8="N/A",0,IF('Scoring Model'!$E8="Positive",IF(C8="Yes",0,1),IF(C8="Yes",1,0)))*IF(C8="N/A",0,'Scoring Model'!$F8)</f>
        <v>0</v>
      </c>
      <c r="I8" s="16">
        <f>IF(D8="N/A",0,IF('Scoring Model'!$E8="Positive",IF(D8="Yes",0,1),IF(D8="Yes",1,0)))*IF(D8="N/A",0,'Scoring Model'!$F8)</f>
        <v>0</v>
      </c>
      <c r="J8" s="16">
        <f>IF(E8="N/A",0,IF('Scoring Model'!$E8="Positive",IF(E8="Yes",0,1),IF(E8="Yes",1,0)))*IF(E8="N/A",0,'Scoring Model'!$F8)</f>
        <v>0</v>
      </c>
      <c r="K8" s="16">
        <f>IF(F8="N/A",0,IF('Scoring Model'!$E8="Positive",IF(F8="Yes",0,1),IF(F8="Yes",1,0)))*IF(F8="N/A",0,'Scoring Model'!$F8)</f>
        <v>0</v>
      </c>
      <c r="L8" s="16">
        <f>IF(G8="N/A",0,IF('Scoring Model'!$E8="Positive",IF(G8="Yes",0,1),IF(G8="Yes",1,0)))*IF(G8="N/A",0,'Scoring Model'!$F8)</f>
        <v>0</v>
      </c>
      <c r="M8" s="16">
        <f>IF(C8="N/A",0,'Scoring Model'!$F8)</f>
        <v>12</v>
      </c>
      <c r="N8" s="16">
        <f>IF(D8="N/A",0,'Scoring Model'!$F8)</f>
        <v>12</v>
      </c>
      <c r="O8" s="16">
        <f>IF(E8="N/A",0,'Scoring Model'!$F8)</f>
        <v>12</v>
      </c>
      <c r="P8" s="16">
        <f>IF(F8="N/A",0,'Scoring Model'!$F8)</f>
        <v>12</v>
      </c>
      <c r="Q8" s="16">
        <f>IF(G8="N/A",0,'Scoring Model'!$F8)</f>
        <v>12</v>
      </c>
    </row>
    <row r="9" spans="1:17" x14ac:dyDescent="0.25">
      <c r="A9" s="21" t="s">
        <v>32</v>
      </c>
      <c r="B9" s="21">
        <f>'Scoring Model'!F9</f>
        <v>18</v>
      </c>
      <c r="C9" s="23" t="s">
        <v>19</v>
      </c>
      <c r="D9" s="23" t="s">
        <v>19</v>
      </c>
      <c r="E9" s="23" t="s">
        <v>19</v>
      </c>
      <c r="F9" s="23" t="s">
        <v>19</v>
      </c>
      <c r="G9" s="23" t="s">
        <v>19</v>
      </c>
      <c r="H9" s="16">
        <f>IF(C9="N/A",0,IF('Scoring Model'!$E9="Positive",IF(C9="Yes",0,1),IF(C9="Yes",1,0)))*IF(C9="N/A",0,'Scoring Model'!$F9)</f>
        <v>0</v>
      </c>
      <c r="I9" s="16">
        <f>IF(D9="N/A",0,IF('Scoring Model'!$E9="Positive",IF(D9="Yes",0,1),IF(D9="Yes",1,0)))*IF(D9="N/A",0,'Scoring Model'!$F9)</f>
        <v>0</v>
      </c>
      <c r="J9" s="16">
        <f>IF(E9="N/A",0,IF('Scoring Model'!$E9="Positive",IF(E9="Yes",0,1),IF(E9="Yes",1,0)))*IF(E9="N/A",0,'Scoring Model'!$F9)</f>
        <v>0</v>
      </c>
      <c r="K9" s="16">
        <f>IF(F9="N/A",0,IF('Scoring Model'!$E9="Positive",IF(F9="Yes",0,1),IF(F9="Yes",1,0)))*IF(F9="N/A",0,'Scoring Model'!$F9)</f>
        <v>0</v>
      </c>
      <c r="L9" s="16">
        <f>IF(G9="N/A",0,IF('Scoring Model'!$E9="Positive",IF(G9="Yes",0,1),IF(G9="Yes",1,0)))*IF(G9="N/A",0,'Scoring Model'!$F9)</f>
        <v>0</v>
      </c>
      <c r="M9" s="16">
        <f>IF(C9="N/A",0,'Scoring Model'!$F9)</f>
        <v>18</v>
      </c>
      <c r="N9" s="16">
        <f>IF(D9="N/A",0,'Scoring Model'!$F9)</f>
        <v>18</v>
      </c>
      <c r="O9" s="16">
        <f>IF(E9="N/A",0,'Scoring Model'!$F9)</f>
        <v>18</v>
      </c>
      <c r="P9" s="16">
        <f>IF(F9="N/A",0,'Scoring Model'!$F9)</f>
        <v>18</v>
      </c>
      <c r="Q9" s="16">
        <f>IF(G9="N/A",0,'Scoring Model'!$F9)</f>
        <v>18</v>
      </c>
    </row>
    <row r="10" spans="1:17" x14ac:dyDescent="0.25">
      <c r="A10" s="21" t="s">
        <v>36</v>
      </c>
      <c r="B10" s="21">
        <f>'Scoring Model'!F10</f>
        <v>8</v>
      </c>
      <c r="C10" s="23" t="s">
        <v>19</v>
      </c>
      <c r="D10" s="23" t="s">
        <v>19</v>
      </c>
      <c r="E10" s="23" t="s">
        <v>19</v>
      </c>
      <c r="F10" s="23" t="s">
        <v>19</v>
      </c>
      <c r="G10" s="23" t="s">
        <v>19</v>
      </c>
      <c r="H10" s="16">
        <f>IF(C10="N/A",0,IF('Scoring Model'!$E10="Positive",IF(C10="Yes",0,1),IF(C10="Yes",1,0)))*IF(C10="N/A",0,'Scoring Model'!$F10)</f>
        <v>0</v>
      </c>
      <c r="I10" s="16">
        <f>IF(D10="N/A",0,IF('Scoring Model'!$E10="Positive",IF(D10="Yes",0,1),IF(D10="Yes",1,0)))*IF(D10="N/A",0,'Scoring Model'!$F10)</f>
        <v>0</v>
      </c>
      <c r="J10" s="16">
        <f>IF(E10="N/A",0,IF('Scoring Model'!$E10="Positive",IF(E10="Yes",0,1),IF(E10="Yes",1,0)))*IF(E10="N/A",0,'Scoring Model'!$F10)</f>
        <v>0</v>
      </c>
      <c r="K10" s="16">
        <f>IF(F10="N/A",0,IF('Scoring Model'!$E10="Positive",IF(F10="Yes",0,1),IF(F10="Yes",1,0)))*IF(F10="N/A",0,'Scoring Model'!$F10)</f>
        <v>0</v>
      </c>
      <c r="L10" s="16">
        <f>IF(G10="N/A",0,IF('Scoring Model'!$E10="Positive",IF(G10="Yes",0,1),IF(G10="Yes",1,0)))*IF(G10="N/A",0,'Scoring Model'!$F10)</f>
        <v>0</v>
      </c>
      <c r="M10" s="16">
        <f>IF(C10="N/A",0,'Scoring Model'!$F10)</f>
        <v>8</v>
      </c>
      <c r="N10" s="16">
        <f>IF(D10="N/A",0,'Scoring Model'!$F10)</f>
        <v>8</v>
      </c>
      <c r="O10" s="16">
        <f>IF(E10="N/A",0,'Scoring Model'!$F10)</f>
        <v>8</v>
      </c>
      <c r="P10" s="16">
        <f>IF(F10="N/A",0,'Scoring Model'!$F10)</f>
        <v>8</v>
      </c>
      <c r="Q10" s="16">
        <f>IF(G10="N/A",0,'Scoring Model'!$F10)</f>
        <v>8</v>
      </c>
    </row>
    <row r="11" spans="1:17" x14ac:dyDescent="0.25">
      <c r="A11" s="21" t="s">
        <v>40</v>
      </c>
      <c r="B11" s="21">
        <f>'Scoring Model'!F11</f>
        <v>10</v>
      </c>
      <c r="C11" s="23" t="s">
        <v>19</v>
      </c>
      <c r="D11" s="23" t="s">
        <v>19</v>
      </c>
      <c r="E11" s="23" t="s">
        <v>19</v>
      </c>
      <c r="F11" s="23" t="s">
        <v>18</v>
      </c>
      <c r="G11" s="23" t="s">
        <v>19</v>
      </c>
      <c r="H11" s="16">
        <f>IF(C11="N/A",0,IF('Scoring Model'!$E11="Positive",IF(C11="Yes",0,1),IF(C11="Yes",1,0)))*IF(C11="N/A",0,'Scoring Model'!$F11)</f>
        <v>0</v>
      </c>
      <c r="I11" s="16">
        <f>IF(D11="N/A",0,IF('Scoring Model'!$E11="Positive",IF(D11="Yes",0,1),IF(D11="Yes",1,0)))*IF(D11="N/A",0,'Scoring Model'!$F11)</f>
        <v>0</v>
      </c>
      <c r="J11" s="16">
        <f>IF(E11="N/A",0,IF('Scoring Model'!$E11="Positive",IF(E11="Yes",0,1),IF(E11="Yes",1,0)))*IF(E11="N/A",0,'Scoring Model'!$F11)</f>
        <v>0</v>
      </c>
      <c r="K11" s="16">
        <f>IF(F11="N/A",0,IF('Scoring Model'!$E11="Positive",IF(F11="Yes",0,1),IF(F11="Yes",1,0)))*IF(F11="N/A",0,'Scoring Model'!$F11)</f>
        <v>10</v>
      </c>
      <c r="L11" s="16">
        <f>IF(G11="N/A",0,IF('Scoring Model'!$E11="Positive",IF(G11="Yes",0,1),IF(G11="Yes",1,0)))*IF(G11="N/A",0,'Scoring Model'!$F11)</f>
        <v>0</v>
      </c>
      <c r="M11" s="16">
        <f>IF(C11="N/A",0,'Scoring Model'!$F11)</f>
        <v>10</v>
      </c>
      <c r="N11" s="16">
        <f>IF(D11="N/A",0,'Scoring Model'!$F11)</f>
        <v>10</v>
      </c>
      <c r="O11" s="16">
        <f>IF(E11="N/A",0,'Scoring Model'!$F11)</f>
        <v>10</v>
      </c>
      <c r="P11" s="16">
        <f>IF(F11="N/A",0,'Scoring Model'!$F11)</f>
        <v>10</v>
      </c>
      <c r="Q11" s="16">
        <f>IF(G11="N/A",0,'Scoring Model'!$F11)</f>
        <v>10</v>
      </c>
    </row>
    <row r="12" spans="1:17" x14ac:dyDescent="0.25">
      <c r="A12" s="21" t="s">
        <v>43</v>
      </c>
      <c r="B12" s="21">
        <f>'Scoring Model'!F12</f>
        <v>6</v>
      </c>
      <c r="C12" s="23" t="s">
        <v>19</v>
      </c>
      <c r="D12" s="23" t="s">
        <v>19</v>
      </c>
      <c r="E12" s="23" t="s">
        <v>19</v>
      </c>
      <c r="F12" s="23" t="s">
        <v>18</v>
      </c>
      <c r="G12" s="23" t="s">
        <v>19</v>
      </c>
      <c r="H12" s="16">
        <f>IF(C12="N/A",0,IF('Scoring Model'!$E12="Positive",IF(C12="Yes",0,1),IF(C12="Yes",1,0)))*IF(C12="N/A",0,'Scoring Model'!$F12)</f>
        <v>0</v>
      </c>
      <c r="I12" s="16">
        <f>IF(D12="N/A",0,IF('Scoring Model'!$E12="Positive",IF(D12="Yes",0,1),IF(D12="Yes",1,0)))*IF(D12="N/A",0,'Scoring Model'!$F12)</f>
        <v>0</v>
      </c>
      <c r="J12" s="16">
        <f>IF(E12="N/A",0,IF('Scoring Model'!$E12="Positive",IF(E12="Yes",0,1),IF(E12="Yes",1,0)))*IF(E12="N/A",0,'Scoring Model'!$F12)</f>
        <v>0</v>
      </c>
      <c r="K12" s="16">
        <f>IF(F12="N/A",0,IF('Scoring Model'!$E12="Positive",IF(F12="Yes",0,1),IF(F12="Yes",1,0)))*IF(F12="N/A",0,'Scoring Model'!$F12)</f>
        <v>6</v>
      </c>
      <c r="L12" s="16">
        <f>IF(G12="N/A",0,IF('Scoring Model'!$E12="Positive",IF(G12="Yes",0,1),IF(G12="Yes",1,0)))*IF(G12="N/A",0,'Scoring Model'!$F12)</f>
        <v>0</v>
      </c>
      <c r="M12" s="16">
        <f>IF(C12="N/A",0,'Scoring Model'!$F12)</f>
        <v>6</v>
      </c>
      <c r="N12" s="16">
        <f>IF(D12="N/A",0,'Scoring Model'!$F12)</f>
        <v>6</v>
      </c>
      <c r="O12" s="16">
        <f>IF(E12="N/A",0,'Scoring Model'!$F12)</f>
        <v>6</v>
      </c>
      <c r="P12" s="16">
        <f>IF(F12="N/A",0,'Scoring Model'!$F12)</f>
        <v>6</v>
      </c>
      <c r="Q12" s="16">
        <f>IF(G12="N/A",0,'Scoring Model'!$F12)</f>
        <v>6</v>
      </c>
    </row>
    <row r="13" spans="1:17" x14ac:dyDescent="0.25">
      <c r="A13" s="21" t="s">
        <v>47</v>
      </c>
      <c r="B13" s="21">
        <f>'Scoring Model'!F13</f>
        <v>5</v>
      </c>
      <c r="C13" s="23" t="s">
        <v>18</v>
      </c>
      <c r="D13" s="23" t="s">
        <v>18</v>
      </c>
      <c r="E13" s="23" t="s">
        <v>18</v>
      </c>
      <c r="F13" s="23" t="s">
        <v>18</v>
      </c>
      <c r="G13" s="23" t="s">
        <v>18</v>
      </c>
      <c r="H13" s="16">
        <f>IF(C13="N/A",0,IF('Scoring Model'!$E13="Positive",IF(C13="Yes",0,1),IF(C13="Yes",1,0)))*IF(C13="N/A",0,'Scoring Model'!$F13)</f>
        <v>5</v>
      </c>
      <c r="I13" s="16">
        <f>IF(D13="N/A",0,IF('Scoring Model'!$E13="Positive",IF(D13="Yes",0,1),IF(D13="Yes",1,0)))*IF(D13="N/A",0,'Scoring Model'!$F13)</f>
        <v>5</v>
      </c>
      <c r="J13" s="16">
        <f>IF(E13="N/A",0,IF('Scoring Model'!$E13="Positive",IF(E13="Yes",0,1),IF(E13="Yes",1,0)))*IF(E13="N/A",0,'Scoring Model'!$F13)</f>
        <v>5</v>
      </c>
      <c r="K13" s="16">
        <f>IF(F13="N/A",0,IF('Scoring Model'!$E13="Positive",IF(F13="Yes",0,1),IF(F13="Yes",1,0)))*IF(F13="N/A",0,'Scoring Model'!$F13)</f>
        <v>5</v>
      </c>
      <c r="L13" s="16">
        <f>IF(G13="N/A",0,IF('Scoring Model'!$E13="Positive",IF(G13="Yes",0,1),IF(G13="Yes",1,0)))*IF(G13="N/A",0,'Scoring Model'!$F13)</f>
        <v>5</v>
      </c>
      <c r="M13" s="16">
        <f>IF(C13="N/A",0,'Scoring Model'!$F13)</f>
        <v>5</v>
      </c>
      <c r="N13" s="16">
        <f>IF(D13="N/A",0,'Scoring Model'!$F13)</f>
        <v>5</v>
      </c>
      <c r="O13" s="16">
        <f>IF(E13="N/A",0,'Scoring Model'!$F13)</f>
        <v>5</v>
      </c>
      <c r="P13" s="16">
        <f>IF(F13="N/A",0,'Scoring Model'!$F13)</f>
        <v>5</v>
      </c>
      <c r="Q13" s="16">
        <f>IF(G13="N/A",0,'Scoring Model'!$F13)</f>
        <v>5</v>
      </c>
    </row>
    <row r="14" spans="1:17" x14ac:dyDescent="0.25">
      <c r="A14" s="21" t="s">
        <v>50</v>
      </c>
      <c r="B14" s="21">
        <f>'Scoring Model'!F14</f>
        <v>9</v>
      </c>
      <c r="C14" s="23" t="s">
        <v>19</v>
      </c>
      <c r="D14" s="23" t="s">
        <v>19</v>
      </c>
      <c r="E14" s="23" t="s">
        <v>19</v>
      </c>
      <c r="F14" s="23" t="s">
        <v>18</v>
      </c>
      <c r="G14" s="23" t="s">
        <v>19</v>
      </c>
      <c r="H14" s="16">
        <f>IF(C14="N/A",0,IF('Scoring Model'!$E14="Positive",IF(C14="Yes",0,1),IF(C14="Yes",1,0)))*IF(C14="N/A",0,'Scoring Model'!$F14)</f>
        <v>0</v>
      </c>
      <c r="I14" s="16">
        <f>IF(D14="N/A",0,IF('Scoring Model'!$E14="Positive",IF(D14="Yes",0,1),IF(D14="Yes",1,0)))*IF(D14="N/A",0,'Scoring Model'!$F14)</f>
        <v>0</v>
      </c>
      <c r="J14" s="16">
        <f>IF(E14="N/A",0,IF('Scoring Model'!$E14="Positive",IF(E14="Yes",0,1),IF(E14="Yes",1,0)))*IF(E14="N/A",0,'Scoring Model'!$F14)</f>
        <v>0</v>
      </c>
      <c r="K14" s="16">
        <f>IF(F14="N/A",0,IF('Scoring Model'!$E14="Positive",IF(F14="Yes",0,1),IF(F14="Yes",1,0)))*IF(F14="N/A",0,'Scoring Model'!$F14)</f>
        <v>9</v>
      </c>
      <c r="L14" s="16">
        <f>IF(G14="N/A",0,IF('Scoring Model'!$E14="Positive",IF(G14="Yes",0,1),IF(G14="Yes",1,0)))*IF(G14="N/A",0,'Scoring Model'!$F14)</f>
        <v>0</v>
      </c>
      <c r="M14" s="16">
        <f>IF(C14="N/A",0,'Scoring Model'!$F14)</f>
        <v>9</v>
      </c>
      <c r="N14" s="16">
        <f>IF(D14="N/A",0,'Scoring Model'!$F14)</f>
        <v>9</v>
      </c>
      <c r="O14" s="16">
        <f>IF(E14="N/A",0,'Scoring Model'!$F14)</f>
        <v>9</v>
      </c>
      <c r="P14" s="16">
        <f>IF(F14="N/A",0,'Scoring Model'!$F14)</f>
        <v>9</v>
      </c>
      <c r="Q14" s="16">
        <f>IF(G14="N/A",0,'Scoring Model'!$F14)</f>
        <v>9</v>
      </c>
    </row>
    <row r="15" spans="1:17" x14ac:dyDescent="0.25">
      <c r="A15" s="21" t="s">
        <v>54</v>
      </c>
      <c r="B15" s="21">
        <f>'Scoring Model'!F15</f>
        <v>5</v>
      </c>
      <c r="C15" s="23" t="s">
        <v>19</v>
      </c>
      <c r="D15" s="23" t="s">
        <v>18</v>
      </c>
      <c r="E15" s="23" t="s">
        <v>19</v>
      </c>
      <c r="F15" s="23" t="s">
        <v>18</v>
      </c>
      <c r="G15" s="23" t="s">
        <v>19</v>
      </c>
      <c r="H15" s="16">
        <f>IF(C15="N/A",0,IF('Scoring Model'!$E15="Positive",IF(C15="Yes",0,1),IF(C15="Yes",1,0)))*IF(C15="N/A",0,'Scoring Model'!$F15)</f>
        <v>5</v>
      </c>
      <c r="I15" s="16">
        <f>IF(D15="N/A",0,IF('Scoring Model'!$E15="Positive",IF(D15="Yes",0,1),IF(D15="Yes",1,0)))*IF(D15="N/A",0,'Scoring Model'!$F15)</f>
        <v>0</v>
      </c>
      <c r="J15" s="16">
        <f>IF(E15="N/A",0,IF('Scoring Model'!$E15="Positive",IF(E15="Yes",0,1),IF(E15="Yes",1,0)))*IF(E15="N/A",0,'Scoring Model'!$F15)</f>
        <v>5</v>
      </c>
      <c r="K15" s="16">
        <f>IF(F15="N/A",0,IF('Scoring Model'!$E15="Positive",IF(F15="Yes",0,1),IF(F15="Yes",1,0)))*IF(F15="N/A",0,'Scoring Model'!$F15)</f>
        <v>0</v>
      </c>
      <c r="L15" s="16">
        <f>IF(G15="N/A",0,IF('Scoring Model'!$E15="Positive",IF(G15="Yes",0,1),IF(G15="Yes",1,0)))*IF(G15="N/A",0,'Scoring Model'!$F15)</f>
        <v>5</v>
      </c>
      <c r="M15" s="16">
        <f>IF(C15="N/A",0,'Scoring Model'!$F15)</f>
        <v>5</v>
      </c>
      <c r="N15" s="16">
        <f>IF(D15="N/A",0,'Scoring Model'!$F15)</f>
        <v>5</v>
      </c>
      <c r="O15" s="16">
        <f>IF(E15="N/A",0,'Scoring Model'!$F15)</f>
        <v>5</v>
      </c>
      <c r="P15" s="16">
        <f>IF(F15="N/A",0,'Scoring Model'!$F15)</f>
        <v>5</v>
      </c>
      <c r="Q15" s="16">
        <f>IF(G15="N/A",0,'Scoring Model'!$F15)</f>
        <v>5</v>
      </c>
    </row>
    <row r="16" spans="1:17" x14ac:dyDescent="0.25">
      <c r="A16" s="21" t="s">
        <v>57</v>
      </c>
      <c r="B16" s="21">
        <f>'Scoring Model'!F16</f>
        <v>3</v>
      </c>
      <c r="C16" s="23" t="s">
        <v>59</v>
      </c>
      <c r="D16" s="23" t="s">
        <v>18</v>
      </c>
      <c r="E16" s="23" t="s">
        <v>59</v>
      </c>
      <c r="F16" s="23" t="s">
        <v>18</v>
      </c>
      <c r="G16" s="23" t="s">
        <v>59</v>
      </c>
      <c r="H16" s="16">
        <f>IF(C16="N/A",0,IF('Scoring Model'!$E16="Positive",IF(C16="Yes",0,1),IF(C16="Yes",1,0)))*IF(C16="N/A",0,'Scoring Model'!$F16)</f>
        <v>0</v>
      </c>
      <c r="I16" s="16">
        <f>IF(D16="N/A",0,IF('Scoring Model'!$E16="Positive",IF(D16="Yes",0,1),IF(D16="Yes",1,0)))*IF(D16="N/A",0,'Scoring Model'!$F16)</f>
        <v>0</v>
      </c>
      <c r="J16" s="16">
        <f>IF(E16="N/A",0,IF('Scoring Model'!$E16="Positive",IF(E16="Yes",0,1),IF(E16="Yes",1,0)))*IF(E16="N/A",0,'Scoring Model'!$F16)</f>
        <v>0</v>
      </c>
      <c r="K16" s="16">
        <f>IF(F16="N/A",0,IF('Scoring Model'!$E16="Positive",IF(F16="Yes",0,1),IF(F16="Yes",1,0)))*IF(F16="N/A",0,'Scoring Model'!$F16)</f>
        <v>0</v>
      </c>
      <c r="L16" s="16">
        <f>IF(G16="N/A",0,IF('Scoring Model'!$E16="Positive",IF(G16="Yes",0,1),IF(G16="Yes",1,0)))*IF(G16="N/A",0,'Scoring Model'!$F16)</f>
        <v>0</v>
      </c>
      <c r="M16" s="16">
        <f>IF(C16="N/A",0,'Scoring Model'!$F16)</f>
        <v>0</v>
      </c>
      <c r="N16" s="16">
        <f>IF(D16="N/A",0,'Scoring Model'!$F16)</f>
        <v>3</v>
      </c>
      <c r="O16" s="16">
        <f>IF(E16="N/A",0,'Scoring Model'!$F16)</f>
        <v>0</v>
      </c>
      <c r="P16" s="16">
        <f>IF(F16="N/A",0,'Scoring Model'!$F16)</f>
        <v>3</v>
      </c>
      <c r="Q16" s="16">
        <f>IF(G16="N/A",0,'Scoring Model'!$F16)</f>
        <v>0</v>
      </c>
    </row>
    <row r="17" spans="1:17" x14ac:dyDescent="0.25">
      <c r="A17" s="21" t="s">
        <v>62</v>
      </c>
      <c r="B17" s="21">
        <f>'Scoring Model'!F17</f>
        <v>5</v>
      </c>
      <c r="C17" s="23" t="s">
        <v>19</v>
      </c>
      <c r="D17" s="23" t="s">
        <v>19</v>
      </c>
      <c r="E17" s="23" t="s">
        <v>19</v>
      </c>
      <c r="F17" s="23" t="s">
        <v>18</v>
      </c>
      <c r="G17" s="23" t="s">
        <v>19</v>
      </c>
      <c r="H17" s="16">
        <f>IF(C17="N/A",0,IF('Scoring Model'!$E17="Positive",IF(C17="Yes",0,1),IF(C17="Yes",1,0)))*IF(C17="N/A",0,'Scoring Model'!$F17)</f>
        <v>0</v>
      </c>
      <c r="I17" s="16">
        <f>IF(D17="N/A",0,IF('Scoring Model'!$E17="Positive",IF(D17="Yes",0,1),IF(D17="Yes",1,0)))*IF(D17="N/A",0,'Scoring Model'!$F17)</f>
        <v>0</v>
      </c>
      <c r="J17" s="16">
        <f>IF(E17="N/A",0,IF('Scoring Model'!$E17="Positive",IF(E17="Yes",0,1),IF(E17="Yes",1,0)))*IF(E17="N/A",0,'Scoring Model'!$F17)</f>
        <v>0</v>
      </c>
      <c r="K17" s="16">
        <f>IF(F17="N/A",0,IF('Scoring Model'!$E17="Positive",IF(F17="Yes",0,1),IF(F17="Yes",1,0)))*IF(F17="N/A",0,'Scoring Model'!$F17)</f>
        <v>5</v>
      </c>
      <c r="L17" s="16">
        <f>IF(G17="N/A",0,IF('Scoring Model'!$E17="Positive",IF(G17="Yes",0,1),IF(G17="Yes",1,0)))*IF(G17="N/A",0,'Scoring Model'!$F17)</f>
        <v>0</v>
      </c>
      <c r="M17" s="16">
        <f>IF(C17="N/A",0,'Scoring Model'!$F17)</f>
        <v>5</v>
      </c>
      <c r="N17" s="16">
        <f>IF(D17="N/A",0,'Scoring Model'!$F17)</f>
        <v>5</v>
      </c>
      <c r="O17" s="16">
        <f>IF(E17="N/A",0,'Scoring Model'!$F17)</f>
        <v>5</v>
      </c>
      <c r="P17" s="16">
        <f>IF(F17="N/A",0,'Scoring Model'!$F17)</f>
        <v>5</v>
      </c>
      <c r="Q17" s="16">
        <f>IF(G17="N/A",0,'Scoring Model'!$F17)</f>
        <v>5</v>
      </c>
    </row>
    <row r="18" spans="1:17" x14ac:dyDescent="0.25">
      <c r="A18" s="21" t="s">
        <v>65</v>
      </c>
      <c r="B18" s="21">
        <f>'Scoring Model'!F18</f>
        <v>3</v>
      </c>
      <c r="C18" s="23" t="s">
        <v>19</v>
      </c>
      <c r="D18" s="23" t="s">
        <v>19</v>
      </c>
      <c r="E18" s="23" t="s">
        <v>19</v>
      </c>
      <c r="F18" s="23" t="s">
        <v>19</v>
      </c>
      <c r="G18" s="23" t="s">
        <v>18</v>
      </c>
      <c r="H18" s="16">
        <f>IF(C18="N/A",0,IF('Scoring Model'!$E18="Positive",IF(C18="Yes",0,1),IF(C18="Yes",1,0)))*IF(C18="N/A",0,'Scoring Model'!$F18)</f>
        <v>0</v>
      </c>
      <c r="I18" s="16">
        <f>IF(D18="N/A",0,IF('Scoring Model'!$E18="Positive",IF(D18="Yes",0,1),IF(D18="Yes",1,0)))*IF(D18="N/A",0,'Scoring Model'!$F18)</f>
        <v>0</v>
      </c>
      <c r="J18" s="16">
        <f>IF(E18="N/A",0,IF('Scoring Model'!$E18="Positive",IF(E18="Yes",0,1),IF(E18="Yes",1,0)))*IF(E18="N/A",0,'Scoring Model'!$F18)</f>
        <v>0</v>
      </c>
      <c r="K18" s="16">
        <f>IF(F18="N/A",0,IF('Scoring Model'!$E18="Positive",IF(F18="Yes",0,1),IF(F18="Yes",1,0)))*IF(F18="N/A",0,'Scoring Model'!$F18)</f>
        <v>0</v>
      </c>
      <c r="L18" s="16">
        <f>IF(G18="N/A",0,IF('Scoring Model'!$E18="Positive",IF(G18="Yes",0,1),IF(G18="Yes",1,0)))*IF(G18="N/A",0,'Scoring Model'!$F18)</f>
        <v>3</v>
      </c>
      <c r="M18" s="16">
        <f>IF(C18="N/A",0,'Scoring Model'!$F18)</f>
        <v>3</v>
      </c>
      <c r="N18" s="16">
        <f>IF(D18="N/A",0,'Scoring Model'!$F18)</f>
        <v>3</v>
      </c>
      <c r="O18" s="16">
        <f>IF(E18="N/A",0,'Scoring Model'!$F18)</f>
        <v>3</v>
      </c>
      <c r="P18" s="16">
        <f>IF(F18="N/A",0,'Scoring Model'!$F18)</f>
        <v>3</v>
      </c>
      <c r="Q18" s="16">
        <f>IF(G18="N/A",0,'Scoring Model'!$F18)</f>
        <v>3</v>
      </c>
    </row>
    <row r="19" spans="1:17" x14ac:dyDescent="0.25">
      <c r="A19" s="21" t="s">
        <v>69</v>
      </c>
      <c r="B19" s="21">
        <f>'Scoring Model'!F19</f>
        <v>6</v>
      </c>
      <c r="C19" s="23" t="s">
        <v>18</v>
      </c>
      <c r="D19" s="23" t="s">
        <v>18</v>
      </c>
      <c r="E19" s="23" t="s">
        <v>18</v>
      </c>
      <c r="F19" s="23" t="s">
        <v>18</v>
      </c>
      <c r="G19" s="23" t="s">
        <v>18</v>
      </c>
      <c r="H19" s="16">
        <f>IF(C19="N/A",0,IF('Scoring Model'!$E19="Positive",IF(C19="Yes",0,1),IF(C19="Yes",1,0)))*IF(C19="N/A",0,'Scoring Model'!$F19)</f>
        <v>0</v>
      </c>
      <c r="I19" s="16">
        <f>IF(D19="N/A",0,IF('Scoring Model'!$E19="Positive",IF(D19="Yes",0,1),IF(D19="Yes",1,0)))*IF(D19="N/A",0,'Scoring Model'!$F19)</f>
        <v>0</v>
      </c>
      <c r="J19" s="16">
        <f>IF(E19="N/A",0,IF('Scoring Model'!$E19="Positive",IF(E19="Yes",0,1),IF(E19="Yes",1,0)))*IF(E19="N/A",0,'Scoring Model'!$F19)</f>
        <v>0</v>
      </c>
      <c r="K19" s="16">
        <f>IF(F19="N/A",0,IF('Scoring Model'!$E19="Positive",IF(F19="Yes",0,1),IF(F19="Yes",1,0)))*IF(F19="N/A",0,'Scoring Model'!$F19)</f>
        <v>0</v>
      </c>
      <c r="L19" s="16">
        <f>IF(G19="N/A",0,IF('Scoring Model'!$E19="Positive",IF(G19="Yes",0,1),IF(G19="Yes",1,0)))*IF(G19="N/A",0,'Scoring Model'!$F19)</f>
        <v>0</v>
      </c>
      <c r="M19" s="16">
        <f>IF(C19="N/A",0,'Scoring Model'!$F19)</f>
        <v>6</v>
      </c>
      <c r="N19" s="16">
        <f>IF(D19="N/A",0,'Scoring Model'!$F19)</f>
        <v>6</v>
      </c>
      <c r="O19" s="16">
        <f>IF(E19="N/A",0,'Scoring Model'!$F19)</f>
        <v>6</v>
      </c>
      <c r="P19" s="16">
        <f>IF(F19="N/A",0,'Scoring Model'!$F19)</f>
        <v>6</v>
      </c>
      <c r="Q19" s="16">
        <f>IF(G19="N/A",0,'Scoring Model'!$F19)</f>
        <v>6</v>
      </c>
    </row>
    <row r="20" spans="1:17" x14ac:dyDescent="0.25">
      <c r="A20" s="13" t="s">
        <v>76</v>
      </c>
      <c r="B20" s="12"/>
      <c r="C20" s="13">
        <f>SUM(H5:H19)</f>
        <v>11.5</v>
      </c>
      <c r="D20" s="13">
        <f>SUM(I5:I19)</f>
        <v>9</v>
      </c>
      <c r="E20" s="13">
        <f>SUM(J5:J19)</f>
        <v>10</v>
      </c>
      <c r="F20" s="13">
        <f>SUM(K5:K19)</f>
        <v>36.5</v>
      </c>
      <c r="G20" s="13">
        <f>SUM(L5:L19)</f>
        <v>17</v>
      </c>
    </row>
    <row r="21" spans="1:17" x14ac:dyDescent="0.25">
      <c r="A21" s="13" t="s">
        <v>74</v>
      </c>
      <c r="B21" s="12"/>
      <c r="C21" s="13">
        <f>SUM(M5:M19)</f>
        <v>97</v>
      </c>
      <c r="D21" s="13">
        <f>SUM(N5:N19)</f>
        <v>100</v>
      </c>
      <c r="E21" s="13">
        <f>SUM(O5:O19)</f>
        <v>97</v>
      </c>
      <c r="F21" s="13">
        <f>SUM(P5:P19)</f>
        <v>100</v>
      </c>
      <c r="G21" s="13">
        <f>SUM(Q5:Q19)</f>
        <v>97</v>
      </c>
    </row>
    <row r="22" spans="1:17" x14ac:dyDescent="0.25">
      <c r="A22" s="13" t="s">
        <v>150</v>
      </c>
      <c r="B22" s="12"/>
      <c r="C22" s="24">
        <f>IFERROR(C20/C21,0)</f>
        <v>0.11855670103092783</v>
      </c>
      <c r="D22" s="24">
        <f>IFERROR(D20/D21,0)</f>
        <v>0.09</v>
      </c>
      <c r="E22" s="24">
        <f>IFERROR(E20/E21,0)</f>
        <v>0.10309278350515463</v>
      </c>
      <c r="F22" s="24">
        <f>IFERROR(F20/F21,0)</f>
        <v>0.36499999999999999</v>
      </c>
      <c r="G22" s="24">
        <f>IFERROR(G20/G21,0)</f>
        <v>0.17525773195876287</v>
      </c>
    </row>
    <row r="23" spans="1:17" x14ac:dyDescent="0.25">
      <c r="A23" s="13" t="s">
        <v>80</v>
      </c>
      <c r="B23" s="12"/>
      <c r="C23" s="25">
        <f>C22*100</f>
        <v>11.855670103092782</v>
      </c>
      <c r="D23" s="25">
        <f>D22*100</f>
        <v>9</v>
      </c>
      <c r="E23" s="25">
        <f>E22*100</f>
        <v>10.309278350515463</v>
      </c>
      <c r="F23" s="25">
        <f>F22*100</f>
        <v>36.5</v>
      </c>
      <c r="G23" s="25">
        <f>G22*100</f>
        <v>17.525773195876287</v>
      </c>
    </row>
    <row r="24" spans="1:17" x14ac:dyDescent="0.25">
      <c r="A24" s="13" t="s">
        <v>82</v>
      </c>
      <c r="B24" s="12"/>
      <c r="C24" s="13" t="str">
        <f>INDEX(Bands!$B$4:$B$7,MATCH(C22,Bands!$A$4:$A$7,1))</f>
        <v>Moderate</v>
      </c>
      <c r="D24" s="13" t="str">
        <f>INDEX(Bands!$B$4:$B$7,MATCH(D22,Bands!$A$4:$A$7,1))</f>
        <v>Low</v>
      </c>
      <c r="E24" s="13" t="str">
        <f>INDEX(Bands!$B$4:$B$7,MATCH(E22,Bands!$A$4:$A$7,1))</f>
        <v>Moderate</v>
      </c>
      <c r="F24" s="13" t="str">
        <f>INDEX(Bands!$B$4:$B$7,MATCH(F22,Bands!$A$4:$A$7,1))</f>
        <v>Elevated</v>
      </c>
      <c r="G24" s="13" t="str">
        <f>INDEX(Bands!$B$4:$B$7,MATCH(G22,Bands!$A$4:$A$7,1))</f>
        <v>Moderate</v>
      </c>
    </row>
    <row r="25" spans="1:17" x14ac:dyDescent="0.25">
      <c r="A25" s="13" t="s">
        <v>151</v>
      </c>
      <c r="B25" s="12"/>
      <c r="C25" s="13" t="str">
        <f>IF(COUNTIFS(C5:C19,"Yes",'Scoring Model'!$L$5:$L$19,"Yes")&gt;0,"Yes","No")</f>
        <v>No</v>
      </c>
      <c r="D25" s="13" t="str">
        <f>IF(COUNTIFS(D5:D19,"Yes",'Scoring Model'!$L$5:$L$19,"Yes")&gt;0,"Yes","No")</f>
        <v>No</v>
      </c>
      <c r="E25" s="13" t="str">
        <f>IF(COUNTIFS(E5:E19,"Yes",'Scoring Model'!$L$5:$L$19,"Yes")&gt;0,"Yes","No")</f>
        <v>No</v>
      </c>
      <c r="F25" s="13" t="str">
        <f>IF(COUNTIFS(F5:F19,"Yes",'Scoring Model'!$L$5:$L$19,"Yes")&gt;0,"Yes","No")</f>
        <v>No</v>
      </c>
      <c r="G25" s="13" t="str">
        <f>IF(COUNTIFS(G5:G19,"Yes",'Scoring Model'!$L$5:$L$19,"Yes")&gt;0,"Yes","No")</f>
        <v>No</v>
      </c>
    </row>
    <row r="27" spans="1:17" x14ac:dyDescent="0.25">
      <c r="A27" s="14" t="s">
        <v>152</v>
      </c>
    </row>
    <row r="28" spans="1:17" ht="15" customHeight="1" x14ac:dyDescent="0.25">
      <c r="A28" s="2" t="s">
        <v>153</v>
      </c>
      <c r="B28" s="2"/>
      <c r="C28" s="2"/>
      <c r="D28" s="2"/>
      <c r="E28" s="2"/>
      <c r="F28" s="2"/>
      <c r="G28" s="2"/>
    </row>
    <row r="29" spans="1:17" x14ac:dyDescent="0.25">
      <c r="A29" s="2"/>
      <c r="B29" s="2"/>
      <c r="C29" s="2"/>
      <c r="D29" s="2"/>
      <c r="E29" s="2"/>
      <c r="F29" s="2"/>
      <c r="G29" s="2"/>
    </row>
    <row r="30" spans="1:17" x14ac:dyDescent="0.25">
      <c r="A30" s="2"/>
      <c r="B30" s="2"/>
      <c r="C30" s="2"/>
      <c r="D30" s="2"/>
      <c r="E30" s="2"/>
      <c r="F30" s="2"/>
      <c r="G30" s="2"/>
    </row>
  </sheetData>
  <mergeCells count="1">
    <mergeCell ref="A28:G3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6"/>
  <sheetViews>
    <sheetView topLeftCell="A6" zoomScaleNormal="100" workbookViewId="0"/>
  </sheetViews>
  <sheetFormatPr defaultColWidth="8.7109375" defaultRowHeight="15" x14ac:dyDescent="0.25"/>
  <cols>
    <col min="1" max="1" width="24" customWidth="1"/>
    <col min="2" max="6" width="22" customWidth="1"/>
  </cols>
  <sheetData>
    <row r="1" spans="1:6" ht="16.5" x14ac:dyDescent="0.25">
      <c r="A1" s="3" t="s">
        <v>154</v>
      </c>
    </row>
    <row r="3" spans="1:6" x14ac:dyDescent="0.25">
      <c r="A3" s="14" t="s">
        <v>155</v>
      </c>
    </row>
    <row r="4" spans="1:6" ht="15" customHeight="1" x14ac:dyDescent="0.25">
      <c r="A4" s="1" t="s">
        <v>156</v>
      </c>
      <c r="B4" s="1"/>
      <c r="C4" s="1"/>
      <c r="D4" s="1"/>
      <c r="E4" s="1"/>
      <c r="F4" s="1"/>
    </row>
    <row r="5" spans="1:6" x14ac:dyDescent="0.25">
      <c r="A5" s="1"/>
      <c r="B5" s="1"/>
      <c r="C5" s="1"/>
      <c r="D5" s="1"/>
      <c r="E5" s="1"/>
      <c r="F5" s="1"/>
    </row>
    <row r="6" spans="1:6" x14ac:dyDescent="0.25">
      <c r="A6" s="1"/>
      <c r="B6" s="1"/>
      <c r="C6" s="1"/>
      <c r="D6" s="1"/>
      <c r="E6" s="1"/>
      <c r="F6" s="1"/>
    </row>
    <row r="8" spans="1:6" x14ac:dyDescent="0.25">
      <c r="A8" s="14" t="s">
        <v>157</v>
      </c>
    </row>
    <row r="9" spans="1:6" ht="15" customHeight="1" x14ac:dyDescent="0.25">
      <c r="A9" s="1" t="s">
        <v>158</v>
      </c>
      <c r="B9" s="1"/>
      <c r="C9" s="1"/>
      <c r="D9" s="1"/>
      <c r="E9" s="1"/>
      <c r="F9" s="1"/>
    </row>
    <row r="10" spans="1:6" x14ac:dyDescent="0.25">
      <c r="A10" s="1"/>
      <c r="B10" s="1"/>
      <c r="C10" s="1"/>
      <c r="D10" s="1"/>
      <c r="E10" s="1"/>
      <c r="F10" s="1"/>
    </row>
    <row r="11" spans="1:6" x14ac:dyDescent="0.25">
      <c r="A11" s="1"/>
      <c r="B11" s="1"/>
      <c r="C11" s="1"/>
      <c r="D11" s="1"/>
      <c r="E11" s="1"/>
      <c r="F11" s="1"/>
    </row>
    <row r="13" spans="1:6" x14ac:dyDescent="0.25">
      <c r="A13" s="14" t="s">
        <v>159</v>
      </c>
    </row>
    <row r="14" spans="1:6" ht="15" customHeight="1" x14ac:dyDescent="0.25">
      <c r="A14" s="1" t="s">
        <v>160</v>
      </c>
      <c r="B14" s="1"/>
      <c r="C14" s="1"/>
      <c r="D14" s="1"/>
      <c r="E14" s="1"/>
      <c r="F14" s="1"/>
    </row>
    <row r="15" spans="1:6" x14ac:dyDescent="0.25">
      <c r="A15" s="1"/>
      <c r="B15" s="1"/>
      <c r="C15" s="1"/>
      <c r="D15" s="1"/>
      <c r="E15" s="1"/>
      <c r="F15" s="1"/>
    </row>
    <row r="16" spans="1:6" x14ac:dyDescent="0.25">
      <c r="A16" s="1"/>
      <c r="B16" s="1"/>
      <c r="C16" s="1"/>
      <c r="D16" s="1"/>
      <c r="E16" s="1"/>
      <c r="F16" s="1"/>
    </row>
    <row r="18" spans="1:6" x14ac:dyDescent="0.25">
      <c r="A18" s="14" t="s">
        <v>161</v>
      </c>
    </row>
    <row r="19" spans="1:6" ht="15" customHeight="1" x14ac:dyDescent="0.25">
      <c r="A19" s="1" t="s">
        <v>162</v>
      </c>
      <c r="B19" s="1"/>
      <c r="C19" s="1"/>
      <c r="D19" s="1"/>
      <c r="E19" s="1"/>
      <c r="F19" s="1"/>
    </row>
    <row r="20" spans="1:6" x14ac:dyDescent="0.25">
      <c r="A20" s="1"/>
      <c r="B20" s="1"/>
      <c r="C20" s="1"/>
      <c r="D20" s="1"/>
      <c r="E20" s="1"/>
      <c r="F20" s="1"/>
    </row>
    <row r="21" spans="1:6" x14ac:dyDescent="0.25">
      <c r="A21" s="1"/>
      <c r="B21" s="1"/>
      <c r="C21" s="1"/>
      <c r="D21" s="1"/>
      <c r="E21" s="1"/>
      <c r="F21" s="1"/>
    </row>
    <row r="23" spans="1:6" x14ac:dyDescent="0.25">
      <c r="A23" s="14" t="s">
        <v>163</v>
      </c>
    </row>
    <row r="24" spans="1:6" ht="15" customHeight="1" x14ac:dyDescent="0.25">
      <c r="A24" s="1" t="s">
        <v>164</v>
      </c>
      <c r="B24" s="1"/>
      <c r="C24" s="1"/>
      <c r="D24" s="1"/>
      <c r="E24" s="1"/>
      <c r="F24" s="1"/>
    </row>
    <row r="25" spans="1:6" x14ac:dyDescent="0.25">
      <c r="A25" s="1"/>
      <c r="B25" s="1"/>
      <c r="C25" s="1"/>
      <c r="D25" s="1"/>
      <c r="E25" s="1"/>
      <c r="F25" s="1"/>
    </row>
    <row r="26" spans="1:6" x14ac:dyDescent="0.25">
      <c r="A26" s="1"/>
      <c r="B26" s="1"/>
      <c r="C26" s="1"/>
      <c r="D26" s="1"/>
      <c r="E26" s="1"/>
      <c r="F26" s="1"/>
    </row>
    <row r="28" spans="1:6" x14ac:dyDescent="0.25">
      <c r="A28" s="14" t="s">
        <v>165</v>
      </c>
    </row>
    <row r="29" spans="1:6" ht="15" customHeight="1" x14ac:dyDescent="0.25">
      <c r="A29" s="1" t="s">
        <v>166</v>
      </c>
      <c r="B29" s="1"/>
      <c r="C29" s="1"/>
      <c r="D29" s="1"/>
      <c r="E29" s="1"/>
      <c r="F29" s="1"/>
    </row>
    <row r="30" spans="1:6" x14ac:dyDescent="0.25">
      <c r="A30" s="1"/>
      <c r="B30" s="1"/>
      <c r="C30" s="1"/>
      <c r="D30" s="1"/>
      <c r="E30" s="1"/>
      <c r="F30" s="1"/>
    </row>
    <row r="31" spans="1:6" x14ac:dyDescent="0.25">
      <c r="A31" s="1"/>
      <c r="B31" s="1"/>
      <c r="C31" s="1"/>
      <c r="D31" s="1"/>
      <c r="E31" s="1"/>
      <c r="F31" s="1"/>
    </row>
    <row r="33" spans="1:6" x14ac:dyDescent="0.25">
      <c r="A33" s="14" t="s">
        <v>167</v>
      </c>
    </row>
    <row r="34" spans="1:6" ht="15" customHeight="1" x14ac:dyDescent="0.25">
      <c r="A34" s="1" t="s">
        <v>168</v>
      </c>
      <c r="B34" s="1"/>
      <c r="C34" s="1"/>
      <c r="D34" s="1"/>
      <c r="E34" s="1"/>
      <c r="F34" s="1"/>
    </row>
    <row r="35" spans="1:6" x14ac:dyDescent="0.25">
      <c r="A35" s="1"/>
      <c r="B35" s="1"/>
      <c r="C35" s="1"/>
      <c r="D35" s="1"/>
      <c r="E35" s="1"/>
      <c r="F35" s="1"/>
    </row>
    <row r="36" spans="1:6" x14ac:dyDescent="0.25">
      <c r="A36" s="1"/>
      <c r="B36" s="1"/>
      <c r="C36" s="1"/>
      <c r="D36" s="1"/>
      <c r="E36" s="1"/>
      <c r="F36" s="1"/>
    </row>
    <row r="38" spans="1:6" x14ac:dyDescent="0.25">
      <c r="A38" s="14" t="s">
        <v>169</v>
      </c>
    </row>
    <row r="39" spans="1:6" ht="15" customHeight="1" x14ac:dyDescent="0.25">
      <c r="A39" s="1" t="s">
        <v>170</v>
      </c>
      <c r="B39" s="1"/>
      <c r="C39" s="1"/>
      <c r="D39" s="1"/>
      <c r="E39" s="1"/>
      <c r="F39" s="1"/>
    </row>
    <row r="40" spans="1:6" x14ac:dyDescent="0.25">
      <c r="A40" s="1"/>
      <c r="B40" s="1"/>
      <c r="C40" s="1"/>
      <c r="D40" s="1"/>
      <c r="E40" s="1"/>
      <c r="F40" s="1"/>
    </row>
    <row r="41" spans="1:6" x14ac:dyDescent="0.25">
      <c r="A41" s="1"/>
      <c r="B41" s="1"/>
      <c r="C41" s="1"/>
      <c r="D41" s="1"/>
      <c r="E41" s="1"/>
      <c r="F41" s="1"/>
    </row>
    <row r="43" spans="1:6" x14ac:dyDescent="0.25">
      <c r="A43" s="14" t="s">
        <v>171</v>
      </c>
    </row>
    <row r="44" spans="1:6" ht="15" customHeight="1" x14ac:dyDescent="0.25">
      <c r="A44" s="1" t="s">
        <v>172</v>
      </c>
      <c r="B44" s="1"/>
      <c r="C44" s="1"/>
      <c r="D44" s="1"/>
      <c r="E44" s="1"/>
      <c r="F44" s="1"/>
    </row>
    <row r="45" spans="1:6" x14ac:dyDescent="0.25">
      <c r="A45" s="1"/>
      <c r="B45" s="1"/>
      <c r="C45" s="1"/>
      <c r="D45" s="1"/>
      <c r="E45" s="1"/>
      <c r="F45" s="1"/>
    </row>
    <row r="46" spans="1:6" x14ac:dyDescent="0.25">
      <c r="A46" s="1"/>
      <c r="B46" s="1"/>
      <c r="C46" s="1"/>
      <c r="D46" s="1"/>
      <c r="E46" s="1"/>
      <c r="F46" s="1"/>
    </row>
  </sheetData>
  <mergeCells count="9">
    <mergeCell ref="A29:F31"/>
    <mergeCell ref="A34:F36"/>
    <mergeCell ref="A39:F41"/>
    <mergeCell ref="A44:F46"/>
    <mergeCell ref="A4:F6"/>
    <mergeCell ref="A9:F11"/>
    <mergeCell ref="A14:F16"/>
    <mergeCell ref="A19:F21"/>
    <mergeCell ref="A24:F2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Scoring Model</vt:lpstr>
      <vt:lpstr>Bands</vt:lpstr>
      <vt:lpstr>Section Weights</vt:lpstr>
      <vt:lpstr>Worked Examples</vt:lpstr>
      <vt:lpstr>Notes and 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Srikant Mishra</cp:lastModifiedBy>
  <cp:revision>0</cp:revision>
  <dcterms:created xsi:type="dcterms:W3CDTF">2026-09-15T11:11:41Z</dcterms:created>
  <dcterms:modified xsi:type="dcterms:W3CDTF">2026-09-16T06:19:24Z</dcterms:modified>
  <dc:language>en-US</dc:language>
</cp:coreProperties>
</file>